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8.xml" ContentType="application/vnd.openxmlformats-officedocument.drawing+xml"/>
  <Override PartName="/xl/tables/table5.xml" ContentType="application/vnd.openxmlformats-officedocument.spreadsheetml.table+xml"/>
  <Override PartName="/xl/slicers/slicer7.xml" ContentType="application/vnd.ms-excel.slicer+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مبادرة رواد مصر الرقمية\Technical\Final Project\Digital_Transformation_Index_Project\Pivot Table Analysis and Insights\"/>
    </mc:Choice>
  </mc:AlternateContent>
  <xr:revisionPtr revIDLastSave="0" documentId="13_ncr:1_{ED61D738-F59D-41B3-9062-FC21CFEE2A18}" xr6:coauthVersionLast="47" xr6:coauthVersionMax="47" xr10:uidLastSave="{00000000-0000-0000-0000-000000000000}"/>
  <bookViews>
    <workbookView xWindow="-108" yWindow="-108" windowWidth="23256" windowHeight="12456" firstSheet="5" activeTab="8" xr2:uid="{00000000-000D-0000-FFFF-FFFF00000000}"/>
  </bookViews>
  <sheets>
    <sheet name="Trend Analysis Dashboard" sheetId="8" r:id="rId1"/>
    <sheet name="DT IndicatorsAnalysis Dashboard" sheetId="10" r:id="rId2"/>
    <sheet name="Impact Analysis Dashboard" sheetId="13" r:id="rId3"/>
    <sheet name="Growth Analysis Dashboard" sheetId="15" r:id="rId4"/>
    <sheet name="Trend Analysis" sheetId="7" r:id="rId5"/>
    <sheet name="DT Components Analysis" sheetId="9" r:id="rId6"/>
    <sheet name="Impact Analysis" sheetId="12" r:id="rId7"/>
    <sheet name="Growth Analysis" sheetId="14" r:id="rId8"/>
    <sheet name="Fact_Digital_Transformation_Ind" sheetId="6" r:id="rId9"/>
    <sheet name="Financial_Index_Data_Cleaned1" sheetId="5" state="hidden" r:id="rId10"/>
    <sheet name="Digital_Payments_Index1" sheetId="4" state="hidden" r:id="rId11"/>
    <sheet name="EGOV_Index_DATA_Cleaned1" sheetId="3" state="hidden" r:id="rId12"/>
    <sheet name="Internet_Index_Data_Cleaned1" sheetId="2" state="hidden" r:id="rId13"/>
  </sheets>
  <definedNames>
    <definedName name="_xlcn.WorksheetConnection_Fact_Digital_Transformation_Index.xlsxGrowth" hidden="1">Growth[]</definedName>
    <definedName name="ExternalData_1" localSheetId="12" hidden="1">Internet_Index_Data_Cleaned1!$A$1:$H$51</definedName>
    <definedName name="ExternalData_2" localSheetId="11" hidden="1">EGOV_Index_DATA_Cleaned1!$A$1:$K$26</definedName>
    <definedName name="ExternalData_3" localSheetId="10" hidden="1">Digital_Payments_Index1!$A$1:$E$17</definedName>
    <definedName name="ExternalData_4" localSheetId="9" hidden="1">Financial_Index_Data_Cleaned1!$A$1:$G$14</definedName>
    <definedName name="ExternalData_6" localSheetId="8" hidden="1">Fact_Digital_Transformation_Ind!$A$1:$T$53</definedName>
    <definedName name="Slicer_Country">#N/A</definedName>
    <definedName name="Slicer_Country_Code1">#N/A</definedName>
  </definedNames>
  <calcPr calcId="191029"/>
  <pivotCaches>
    <pivotCache cacheId="0" r:id="rId14"/>
    <pivotCache cacheId="6" r:id="rId15"/>
  </pivotCaches>
  <extLst>
    <ext xmlns:x14="http://schemas.microsoft.com/office/spreadsheetml/2009/9/main" uri="{876F7934-8845-4945-9796-88D515C7AA90}">
      <x14:pivotCaches>
        <pivotCache cacheId="5"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Digital_Transformation_Index_2acae6fe-7909-445c-beab-3722969a875e" name="Fact_Digital_Transformation_Index" connection="Query - Fact_Digital_Transformation_Index"/>
          <x15:modelTable id="Growth" name="Growth" connection="WorksheetConnection_Fact_Digital_Transformation_Index .xlsx!Growth"/>
        </x15:modelTables>
        <x15:modelRelationships>
          <x15:modelRelationship fromTable="Fact_Digital_Transformation_Index" fromColumn="Country" toTable="Growth"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15" l="1"/>
  <c r="O6" i="15"/>
  <c r="K6" i="15"/>
  <c r="H6" i="15"/>
  <c r="D6" i="15"/>
  <c r="L19" i="14"/>
  <c r="L20" i="14"/>
  <c r="L39" i="14"/>
  <c r="L40" i="14"/>
  <c r="L41" i="14"/>
  <c r="L42" i="14"/>
  <c r="L43" i="14"/>
  <c r="L30" i="14"/>
  <c r="L31" i="14"/>
  <c r="L32" i="14"/>
  <c r="L33" i="14"/>
  <c r="L29" i="14"/>
  <c r="L51" i="14"/>
  <c r="L52" i="14"/>
  <c r="L53" i="14"/>
  <c r="L54" i="14"/>
  <c r="L50" i="14"/>
  <c r="L62" i="14"/>
  <c r="L63" i="14"/>
  <c r="L64" i="14"/>
  <c r="L65" i="14"/>
  <c r="L61" i="14"/>
  <c r="L21" i="14"/>
  <c r="L22" i="14"/>
  <c r="L23" i="14"/>
  <c r="M104" i="12"/>
  <c r="M102" i="12"/>
  <c r="M101" i="12"/>
  <c r="M100" i="12"/>
  <c r="M99" i="12"/>
  <c r="M98" i="12"/>
  <c r="O6" i="13" s="1"/>
  <c r="R104" i="7"/>
  <c r="L120" i="7"/>
  <c r="L121" i="7"/>
  <c r="L122" i="7"/>
  <c r="L123" i="7"/>
  <c r="L119" i="7"/>
  <c r="F6" i="8" s="1"/>
  <c r="N6" i="10"/>
  <c r="J6" i="10"/>
  <c r="G6" i="10"/>
  <c r="M89" i="12"/>
  <c r="M90" i="12"/>
  <c r="M91" i="12"/>
  <c r="M92" i="12"/>
  <c r="M88" i="12"/>
  <c r="K6" i="13" s="1"/>
  <c r="G6" i="13"/>
  <c r="D6" i="13"/>
  <c r="O6" i="8"/>
  <c r="L6" i="8"/>
  <c r="I6" i="8"/>
  <c r="E138" i="7"/>
  <c r="E137" i="7"/>
  <c r="E136" i="7"/>
  <c r="E135" i="7"/>
  <c r="E134" i="7"/>
  <c r="M112" i="7"/>
  <c r="M111" i="7"/>
  <c r="M110" i="7"/>
  <c r="M109" i="7"/>
  <c r="M108" i="7"/>
  <c r="L112" i="7"/>
  <c r="L111" i="7"/>
  <c r="L110" i="7"/>
  <c r="L109" i="7"/>
  <c r="L10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D8BCD0-9F86-4D30-BB68-667FFC79A91E}" keepAlive="1" name="ModelConnection_ExternalData_6" description="Data Model" type="5" refreshedVersion="8" minRefreshableVersion="5" saveData="1">
    <dbPr connection="Data Model Connection" command="Fact_Digital_Transformation_Index" commandType="3"/>
    <extLst>
      <ext xmlns:x15="http://schemas.microsoft.com/office/spreadsheetml/2010/11/main" uri="{DE250136-89BD-433C-8126-D09CA5730AF9}">
        <x15:connection id="" model="1"/>
      </ext>
    </extLst>
  </connection>
  <connection id="2" xr16:uid="{9C0660E8-8DC7-4E00-A72C-5BC9F67D58AF}" keepAlive="1" name="Query - Digital_Payments_Index1" description="Connection to the 'Digital_Payments_Index1' query in the workbook." type="5" refreshedVersion="8" background="1" saveData="1">
    <dbPr connection="Provider=Microsoft.Mashup.OleDb.1;Data Source=$Workbook$;Location=Digital_Payments_Index1;Extended Properties=&quot;&quot;" command="SELECT * FROM [Digital_Payments_Index1]"/>
  </connection>
  <connection id="3" xr16:uid="{18A2BB28-20B2-4043-ACD5-4E983EEC6700}" keepAlive="1" name="Query - EGOV_Index_DATA_Cleaned1" description="Connection to the 'EGOV_Index_DATA_Cleaned1' query in the workbook." type="5" refreshedVersion="8" background="1" saveData="1">
    <dbPr connection="Provider=Microsoft.Mashup.OleDb.1;Data Source=$Workbook$;Location=EGOV_Index_DATA_Cleaned1;Extended Properties=&quot;&quot;" command="SELECT * FROM [EGOV_Index_DATA_Cleaned1]"/>
  </connection>
  <connection id="4" xr16:uid="{FE166665-EC40-46B7-BC29-13A6FD4FF00D}" name="Query - Fact_Digital_Transformation_Index" description="Connection to the 'Fact_Digital_Transformation_Index' query in the workbook." type="100" refreshedVersion="8" minRefreshableVersion="5">
    <extLst>
      <ext xmlns:x15="http://schemas.microsoft.com/office/spreadsheetml/2010/11/main" uri="{DE250136-89BD-433C-8126-D09CA5730AF9}">
        <x15:connection id="3c1fdb00-9477-4ab4-a49f-8c03e465e927"/>
      </ext>
    </extLst>
  </connection>
  <connection id="5" xr16:uid="{1C7B91B6-2FA7-437A-B3C2-5A9BF272EC5B}" keepAlive="1" name="Query - Financial_Index_Data_Cleaned1" description="Connection to the 'Financial_Index_Data_Cleaned1' query in the workbook." type="5" refreshedVersion="8" background="1" saveData="1">
    <dbPr connection="Provider=Microsoft.Mashup.OleDb.1;Data Source=$Workbook$;Location=Financial_Index_Data_Cleaned1;Extended Properties=&quot;&quot;" command="SELECT * FROM [Financial_Index_Data_Cleaned1]"/>
  </connection>
  <connection id="6" xr16:uid="{0B65A412-CDA7-4351-9427-26760A73C88E}" keepAlive="1" name="Query - Internet_Index_Data_Cleaned1" description="Connection to the 'Internet_Index_Data_Cleaned1' query in the workbook." type="5" refreshedVersion="8" background="1" saveData="1">
    <dbPr connection="Provider=Microsoft.Mashup.OleDb.1;Data Source=$Workbook$;Location=Internet_Index_Data_Cleaned1;Extended Properties=&quot;&quot;" command="SELECT * FROM [Internet_Index_Data_Cleaned1]"/>
  </connection>
  <connection id="7" xr16:uid="{D96A7ABA-07CF-443C-A320-66A47E7E91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FE70D0AB-4531-4805-B450-393D19D91EC7}" name="WorksheetConnection_Fact_Digital_Transformation_Index .xlsx!Growth" type="102" refreshedVersion="8" minRefreshableVersion="5">
    <extLst>
      <ext xmlns:x15="http://schemas.microsoft.com/office/spreadsheetml/2010/11/main" uri="{DE250136-89BD-433C-8126-D09CA5730AF9}">
        <x15:connection id="Growth">
          <x15:rangePr sourceName="_xlcn.WorksheetConnection_Fact_Digital_Transformation_Index.xlsxGrowth"/>
        </x15:connection>
      </ext>
    </extLst>
  </connection>
</connections>
</file>

<file path=xl/sharedStrings.xml><?xml version="1.0" encoding="utf-8"?>
<sst xmlns="http://schemas.openxmlformats.org/spreadsheetml/2006/main" count="864" uniqueCount="170">
  <si>
    <t>Code_ID</t>
  </si>
  <si>
    <t>Country_Code</t>
  </si>
  <si>
    <t>Country</t>
  </si>
  <si>
    <t>Year</t>
  </si>
  <si>
    <t>Access_Index</t>
  </si>
  <si>
    <t>Affordability_Index</t>
  </si>
  <si>
    <t>Quality_Index</t>
  </si>
  <si>
    <t>Internet_Index</t>
  </si>
  <si>
    <t>EGY_2015</t>
  </si>
  <si>
    <t>EGY</t>
  </si>
  <si>
    <t>Egypt, Arab Rep</t>
  </si>
  <si>
    <t>SAU_2019</t>
  </si>
  <si>
    <t>SAU</t>
  </si>
  <si>
    <t>Saudi Arabia</t>
  </si>
  <si>
    <t>SAU_2015</t>
  </si>
  <si>
    <t>SAU_2020</t>
  </si>
  <si>
    <t>SAU_2016</t>
  </si>
  <si>
    <t>SAU_2021</t>
  </si>
  <si>
    <t>EGY_2016</t>
  </si>
  <si>
    <t>SAU_2022</t>
  </si>
  <si>
    <t>SAU_2017</t>
  </si>
  <si>
    <t>SAU_2023</t>
  </si>
  <si>
    <t>SAU_2018</t>
  </si>
  <si>
    <t>SAU_2024</t>
  </si>
  <si>
    <t>EGY_2017</t>
  </si>
  <si>
    <t>IND_2019</t>
  </si>
  <si>
    <t>IND</t>
  </si>
  <si>
    <t>India</t>
  </si>
  <si>
    <t>IND_2020</t>
  </si>
  <si>
    <t>EGY_2018</t>
  </si>
  <si>
    <t>EGY_2019</t>
  </si>
  <si>
    <t>EGY_2020</t>
  </si>
  <si>
    <t>EGY_2021</t>
  </si>
  <si>
    <t>EGY_2022</t>
  </si>
  <si>
    <t>EGY_2023</t>
  </si>
  <si>
    <t>EGY_2024</t>
  </si>
  <si>
    <t>IND_2015</t>
  </si>
  <si>
    <t>GBR_2015</t>
  </si>
  <si>
    <t>GBR</t>
  </si>
  <si>
    <t>United Kingdom</t>
  </si>
  <si>
    <t>IND_2016</t>
  </si>
  <si>
    <t>GBR_2016</t>
  </si>
  <si>
    <t>IND_2017</t>
  </si>
  <si>
    <t>GBR_2019</t>
  </si>
  <si>
    <t>GBR_2017</t>
  </si>
  <si>
    <t>IND_2018</t>
  </si>
  <si>
    <t>GBR_2018</t>
  </si>
  <si>
    <t>GBR_2020</t>
  </si>
  <si>
    <t>IND_2021</t>
  </si>
  <si>
    <t>GBR_2021</t>
  </si>
  <si>
    <t>IND_2022</t>
  </si>
  <si>
    <t>GBR_2022</t>
  </si>
  <si>
    <t>IND_2023</t>
  </si>
  <si>
    <t>GBR_2023</t>
  </si>
  <si>
    <t>IND_2024</t>
  </si>
  <si>
    <t>GBR_2024</t>
  </si>
  <si>
    <t>ARE_2015</t>
  </si>
  <si>
    <t>ARE</t>
  </si>
  <si>
    <t>United Arab Emirates</t>
  </si>
  <si>
    <t>ARE_2016</t>
  </si>
  <si>
    <t>ARE_2017</t>
  </si>
  <si>
    <t>ARE_2018</t>
  </si>
  <si>
    <t>ARE_2019</t>
  </si>
  <si>
    <t>ARE_2020</t>
  </si>
  <si>
    <t>ARE_2021</t>
  </si>
  <si>
    <t>ARE_2022</t>
  </si>
  <si>
    <t>ARE_2023</t>
  </si>
  <si>
    <t>ARE_2024</t>
  </si>
  <si>
    <t>EGDI_Rank</t>
  </si>
  <si>
    <t>OSI_Value</t>
  </si>
  <si>
    <t>TII_Value</t>
  </si>
  <si>
    <t>HCI_Value</t>
  </si>
  <si>
    <t>EPI_Value</t>
  </si>
  <si>
    <t>EPI_Rank</t>
  </si>
  <si>
    <t>E_GOV_Index</t>
  </si>
  <si>
    <t>Digital_Payments_Index</t>
  </si>
  <si>
    <t>Usage_Index</t>
  </si>
  <si>
    <t>FI_Index</t>
  </si>
  <si>
    <t>Internet_Access_Index</t>
  </si>
  <si>
    <t>Internet_Affordability_Index</t>
  </si>
  <si>
    <t>Internet_Quality_Index</t>
  </si>
  <si>
    <t>Internet_All_Index</t>
  </si>
  <si>
    <t>FI_Access_Index</t>
  </si>
  <si>
    <t>FI_Usage_Index</t>
  </si>
  <si>
    <t>FI_All_Index</t>
  </si>
  <si>
    <t>Q1:- How has digital transformation evolved over time across countries?</t>
  </si>
  <si>
    <t>Row Labels</t>
  </si>
  <si>
    <t>Column Labels</t>
  </si>
  <si>
    <t>Average of E_GOV_Index</t>
  </si>
  <si>
    <t>Average of Internet_All_Index</t>
  </si>
  <si>
    <t>Average of Digital_Payments_Index</t>
  </si>
  <si>
    <t>AVG E_GOV_Index</t>
  </si>
  <si>
    <t>KPI`s</t>
  </si>
  <si>
    <t>DT Growth</t>
  </si>
  <si>
    <t>DT_Growth</t>
  </si>
  <si>
    <t>FI_Growth</t>
  </si>
  <si>
    <t>Average of FI_All_Index</t>
  </si>
  <si>
    <t>DT_Level</t>
  </si>
  <si>
    <t>Main_Driver</t>
  </si>
  <si>
    <t>Q2:- What are the key digital Trnasformationstrenghts of each country?</t>
  </si>
  <si>
    <t>Q3:-Which Countries is the overall Digital transformation Leader?</t>
  </si>
  <si>
    <t>What is the Current Performance of the Selected Country?</t>
  </si>
  <si>
    <t>1- مستوى التحول الرقمى العام في الدولة</t>
  </si>
  <si>
    <t>2- مدى الشمول المالى في كل دولة</t>
  </si>
  <si>
    <t>3- مستوى الخدمات الحكومية الإلكترونية</t>
  </si>
  <si>
    <t>4- انتشار وجودة استخدام الانترنت</t>
  </si>
  <si>
    <t>5- مستوى استخدام الدفع الإلكترونى</t>
  </si>
  <si>
    <t>Digital_Transformation_Level</t>
  </si>
  <si>
    <t>Financial_Inclusion_Level</t>
  </si>
  <si>
    <t>E-Government_Level</t>
  </si>
  <si>
    <t>Internet_Penetration_Level</t>
  </si>
  <si>
    <t>Digital_Payments_Level</t>
  </si>
  <si>
    <t>Average of Digital_Transformation_Index</t>
  </si>
  <si>
    <t>Financial Inclusion Level</t>
  </si>
  <si>
    <t>Digital Transformation Level</t>
  </si>
  <si>
    <t xml:space="preserve">     E-Government Level</t>
  </si>
  <si>
    <t>Q3:- Is Digital Transformation linked to Financial Inclusion?</t>
  </si>
  <si>
    <t>KPIs</t>
  </si>
  <si>
    <t>Financoal Inclusion Level</t>
  </si>
  <si>
    <t>Q1:- How has E-Government evolved over time?</t>
  </si>
  <si>
    <t>Q2:- How has Internet penetration changed over time?</t>
  </si>
  <si>
    <t>Q3:-How have Digital Payments evolved?</t>
  </si>
  <si>
    <t>Q4:- Howhas Financial Inclusion changed over time?</t>
  </si>
  <si>
    <t>Avg Digital Transformation Level</t>
  </si>
  <si>
    <t>Avg Financial Inclusion Level</t>
  </si>
  <si>
    <t>Avg E-Government Level</t>
  </si>
  <si>
    <t>Avg Internet Penetration Level</t>
  </si>
  <si>
    <t>Q1:- How Does E-Government differ across countries?</t>
  </si>
  <si>
    <t>Digital Transformation Growth</t>
  </si>
  <si>
    <t>Financial Inclusion Gross</t>
  </si>
  <si>
    <t>Main Digital Driver</t>
  </si>
  <si>
    <t xml:space="preserve"> Internet Penetration Level</t>
  </si>
  <si>
    <t xml:space="preserve"> Digital Payments Level</t>
  </si>
  <si>
    <t>E-Government Level</t>
  </si>
  <si>
    <t>Digital Transformaion Growth</t>
  </si>
  <si>
    <t>FI Growth</t>
  </si>
  <si>
    <t>Financial Inclusion Growth</t>
  </si>
  <si>
    <t>Q1:- Does Internet Penetration drive  Impact on Financial Inclusion?</t>
  </si>
  <si>
    <t>Q1:- Does E-Governemt impact on Financial Inclusion?</t>
  </si>
  <si>
    <t xml:space="preserve">  E-Governemt</t>
  </si>
  <si>
    <t>Main Driver of Financial</t>
  </si>
  <si>
    <t>Which Digital transformation Indicators and financial inclusion have grown the fastest over time?</t>
  </si>
  <si>
    <t>E-Government Growth</t>
  </si>
  <si>
    <t>Digital _Payments Growth</t>
  </si>
  <si>
    <t>Internet Growth</t>
  </si>
  <si>
    <t>Internet Penetration Level</t>
  </si>
  <si>
    <t>Digital Payments Level</t>
  </si>
  <si>
    <t>Avg Internet Index</t>
  </si>
  <si>
    <t>Q3:- Is Digital Payments linked to Financial Inclusion?</t>
  </si>
  <si>
    <t>1- Digital Transformation Growth</t>
  </si>
  <si>
    <t>2 - Financial Inclusion Growth</t>
  </si>
  <si>
    <t>3 - E-Government Growth</t>
  </si>
  <si>
    <t>4 - Digital _Payments Growth</t>
  </si>
  <si>
    <t>5 - Internet Penetration Growth</t>
  </si>
  <si>
    <t>DT_Growth%</t>
  </si>
  <si>
    <t>EGOV_Growth%</t>
  </si>
  <si>
    <t>Digital Transformation Growth%</t>
  </si>
  <si>
    <t>E-Governmet Growth%</t>
  </si>
  <si>
    <t>Internet Growth%</t>
  </si>
  <si>
    <t>Financial Inclusion Growth%</t>
  </si>
  <si>
    <t>Digital Payments Growth%</t>
  </si>
  <si>
    <t>FI_Growth%</t>
  </si>
  <si>
    <t>Internet Penetration Growth%</t>
  </si>
  <si>
    <t>Digital _Payments Growth%</t>
  </si>
  <si>
    <t>Average of DT_Growth%</t>
  </si>
  <si>
    <t>Average Internet Growth%</t>
  </si>
  <si>
    <t>Average Digital Payments Growth%</t>
  </si>
  <si>
    <t>Average EGOV Growth%</t>
  </si>
  <si>
    <t>Average FI Growth%</t>
  </si>
  <si>
    <t>Digital_Tranformation_Index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</si>
</sst>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9" x14ac:knownFonts="1">
    <font>
      <sz val="11"/>
      <color theme="1"/>
      <name val="Calibri"/>
      <family val="2"/>
      <scheme val="minor"/>
    </font>
    <font>
      <b/>
      <sz val="11"/>
      <color theme="1"/>
      <name val="Calibri"/>
      <family val="2"/>
      <scheme val="minor"/>
    </font>
    <font>
      <sz val="12"/>
      <color theme="1"/>
      <name val="Arial"/>
      <family val="2"/>
    </font>
    <font>
      <sz val="12"/>
      <color rgb="FF08D9D6"/>
      <name val="Arial"/>
      <family val="2"/>
    </font>
    <font>
      <b/>
      <sz val="14"/>
      <color rgb="FF08D9D6"/>
      <name val="Arial"/>
      <family val="2"/>
    </font>
    <font>
      <sz val="10"/>
      <color theme="1"/>
      <name val="Calibri"/>
      <family val="2"/>
      <scheme val="minor"/>
    </font>
    <font>
      <b/>
      <sz val="14"/>
      <color rgb="FF08D9D6"/>
      <name val="Calibri"/>
      <family val="2"/>
      <scheme val="minor"/>
    </font>
    <font>
      <sz val="11"/>
      <color rgb="FF08D9D6"/>
      <name val="Calibri"/>
      <family val="2"/>
      <scheme val="minor"/>
    </font>
    <font>
      <sz val="1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1" tint="4.9989318521683403E-2"/>
        <bgColor indexed="64"/>
      </patternFill>
    </fill>
    <fill>
      <patternFill patternType="solid">
        <fgColor theme="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61">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2" fillId="0" borderId="0" xfId="0" applyFont="1"/>
    <xf numFmtId="0" fontId="1" fillId="2" borderId="1" xfId="0" applyFont="1" applyFill="1" applyBorder="1"/>
    <xf numFmtId="0" fontId="0" fillId="3" borderId="0" xfId="0" applyFill="1"/>
    <xf numFmtId="0" fontId="3" fillId="3" borderId="0" xfId="0" applyFont="1" applyFill="1" applyAlignment="1">
      <alignment vertical="center"/>
    </xf>
    <xf numFmtId="0" fontId="2" fillId="3" borderId="0" xfId="0" applyFont="1" applyFill="1" applyAlignment="1">
      <alignment vertical="center"/>
    </xf>
    <xf numFmtId="0" fontId="5" fillId="3" borderId="0" xfId="0" applyFont="1" applyFill="1"/>
    <xf numFmtId="0" fontId="0" fillId="3" borderId="0" xfId="0" applyFill="1" applyAlignment="1">
      <alignment horizontal="center"/>
    </xf>
    <xf numFmtId="0" fontId="3" fillId="3" borderId="0" xfId="0" applyFont="1" applyFill="1"/>
    <xf numFmtId="0" fontId="4" fillId="3" borderId="0" xfId="0" applyFont="1" applyFill="1" applyAlignment="1">
      <alignment horizontal="center"/>
    </xf>
    <xf numFmtId="164" fontId="4" fillId="3" borderId="0" xfId="0" applyNumberFormat="1" applyFont="1" applyFill="1"/>
    <xf numFmtId="164" fontId="4" fillId="3" borderId="0" xfId="0" applyNumberFormat="1" applyFont="1" applyFill="1" applyAlignment="1">
      <alignment wrapText="1"/>
    </xf>
    <xf numFmtId="0" fontId="0" fillId="4" borderId="0" xfId="0" applyFill="1"/>
    <xf numFmtId="0" fontId="3" fillId="4" borderId="0" xfId="0" applyFont="1" applyFill="1" applyAlignment="1">
      <alignment horizontal="left" indent="5"/>
    </xf>
    <xf numFmtId="164" fontId="4" fillId="4" borderId="0" xfId="0" applyNumberFormat="1" applyFont="1" applyFill="1"/>
    <xf numFmtId="164" fontId="4" fillId="3" borderId="0" xfId="0" applyNumberFormat="1" applyFont="1" applyFill="1" applyAlignment="1">
      <alignment horizontal="left" indent="6"/>
    </xf>
    <xf numFmtId="0" fontId="3" fillId="4" borderId="0" xfId="0" applyFont="1" applyFill="1"/>
    <xf numFmtId="0" fontId="7" fillId="4" borderId="0" xfId="0" applyFont="1" applyFill="1"/>
    <xf numFmtId="0" fontId="0" fillId="4" borderId="0" xfId="0" applyFill="1" applyAlignment="1">
      <alignment horizontal="left" indent="5"/>
    </xf>
    <xf numFmtId="0" fontId="4" fillId="4" borderId="0" xfId="0" applyFont="1" applyFill="1"/>
    <xf numFmtId="0" fontId="1" fillId="0" borderId="0" xfId="0" applyFont="1" applyAlignment="1">
      <alignment horizontal="center"/>
    </xf>
    <xf numFmtId="0" fontId="8" fillId="0" borderId="0" xfId="0" applyFont="1"/>
    <xf numFmtId="2" fontId="0" fillId="4" borderId="0" xfId="0" applyNumberFormat="1" applyFill="1"/>
    <xf numFmtId="2" fontId="4" fillId="3" borderId="0" xfId="0" applyNumberFormat="1" applyFont="1" applyFill="1" applyAlignment="1">
      <alignment horizontal="center"/>
    </xf>
    <xf numFmtId="2" fontId="0" fillId="0" borderId="0" xfId="0" applyNumberFormat="1"/>
    <xf numFmtId="0" fontId="3" fillId="3" borderId="0" xfId="0" applyFont="1" applyFill="1" applyAlignment="1">
      <alignment horizontal="center"/>
    </xf>
    <xf numFmtId="0" fontId="0" fillId="3" borderId="0" xfId="0" applyFill="1" applyAlignment="1">
      <alignment horizontal="center"/>
    </xf>
    <xf numFmtId="0" fontId="3" fillId="3" borderId="0" xfId="0" applyFont="1" applyFill="1" applyAlignment="1">
      <alignment horizontal="right"/>
    </xf>
    <xf numFmtId="0" fontId="0" fillId="3" borderId="0" xfId="0" applyFill="1" applyAlignment="1">
      <alignment horizontal="right"/>
    </xf>
    <xf numFmtId="2" fontId="4" fillId="3" borderId="0" xfId="0" applyNumberFormat="1" applyFont="1" applyFill="1" applyAlignment="1">
      <alignment horizontal="left" indent="4"/>
    </xf>
    <xf numFmtId="2" fontId="4" fillId="3" borderId="0" xfId="0" applyNumberFormat="1" applyFont="1" applyFill="1" applyAlignment="1">
      <alignment horizontal="center"/>
    </xf>
    <xf numFmtId="0" fontId="3" fillId="3" borderId="0" xfId="0" applyFont="1" applyFill="1"/>
    <xf numFmtId="164" fontId="4" fillId="3" borderId="0" xfId="0" applyNumberFormat="1" applyFont="1" applyFill="1" applyAlignment="1">
      <alignment horizontal="left" indent="6"/>
    </xf>
    <xf numFmtId="2" fontId="4" fillId="3" borderId="0" xfId="0" applyNumberFormat="1" applyFont="1" applyFill="1" applyAlignment="1">
      <alignment horizontal="center" vertical="center"/>
    </xf>
    <xf numFmtId="2" fontId="3" fillId="3" borderId="0" xfId="0" applyNumberFormat="1" applyFont="1" applyFill="1" applyAlignment="1">
      <alignment horizontal="center" vertical="center"/>
    </xf>
    <xf numFmtId="0" fontId="3" fillId="3" borderId="0" xfId="0" applyFont="1" applyFill="1" applyAlignment="1">
      <alignment horizontal="left" vertical="center" indent="6"/>
    </xf>
    <xf numFmtId="0" fontId="3" fillId="3" borderId="0" xfId="0" applyFont="1" applyFill="1" applyAlignment="1">
      <alignment horizontal="left" vertical="center"/>
    </xf>
    <xf numFmtId="164" fontId="4" fillId="3" borderId="0" xfId="0" applyNumberFormat="1" applyFont="1" applyFill="1" applyAlignment="1">
      <alignment horizontal="left" indent="5"/>
    </xf>
    <xf numFmtId="0" fontId="3" fillId="3" borderId="0" xfId="0" applyFont="1" applyFill="1" applyAlignment="1">
      <alignment horizontal="left" vertical="center" indent="1"/>
    </xf>
    <xf numFmtId="0" fontId="3" fillId="3" borderId="0" xfId="0" applyFont="1" applyFill="1" applyAlignment="1">
      <alignment horizontal="left"/>
    </xf>
    <xf numFmtId="0" fontId="3" fillId="3" borderId="0" xfId="0" applyFont="1" applyFill="1" applyAlignment="1">
      <alignment horizontal="left" indent="3"/>
    </xf>
    <xf numFmtId="164" fontId="4" fillId="3" borderId="0" xfId="0" applyNumberFormat="1" applyFont="1" applyFill="1" applyAlignment="1">
      <alignment horizontal="center" wrapText="1"/>
    </xf>
    <xf numFmtId="0" fontId="3" fillId="3" borderId="0" xfId="0" applyFont="1" applyFill="1" applyAlignment="1">
      <alignment horizontal="left" indent="1"/>
    </xf>
    <xf numFmtId="164" fontId="4" fillId="4" borderId="0" xfId="0" applyNumberFormat="1" applyFont="1" applyFill="1" applyAlignment="1">
      <alignment horizontal="center"/>
    </xf>
    <xf numFmtId="0" fontId="3" fillId="4" borderId="0" xfId="0" applyFont="1" applyFill="1" applyAlignment="1">
      <alignment horizontal="left" indent="3"/>
    </xf>
    <xf numFmtId="0" fontId="3" fillId="4" borderId="0" xfId="0" applyFont="1" applyFill="1" applyAlignment="1">
      <alignment horizontal="left" indent="5"/>
    </xf>
    <xf numFmtId="164" fontId="6" fillId="4" borderId="0" xfId="0" applyNumberFormat="1" applyFont="1" applyFill="1" applyAlignment="1">
      <alignment horizontal="left" indent="6"/>
    </xf>
    <xf numFmtId="164" fontId="4" fillId="4" borderId="0" xfId="0" applyNumberFormat="1" applyFont="1" applyFill="1" applyAlignment="1">
      <alignment horizontal="left" indent="9"/>
    </xf>
    <xf numFmtId="0" fontId="3" fillId="4" borderId="0" xfId="0" applyFont="1" applyFill="1" applyAlignment="1">
      <alignment horizontal="left"/>
    </xf>
    <xf numFmtId="2" fontId="4" fillId="4" borderId="0" xfId="0" applyNumberFormat="1" applyFont="1" applyFill="1" applyAlignment="1">
      <alignment horizontal="left" indent="8"/>
    </xf>
    <xf numFmtId="0" fontId="1" fillId="2" borderId="0" xfId="0" applyFont="1" applyFill="1" applyAlignment="1">
      <alignment horizontal="center"/>
    </xf>
    <xf numFmtId="0" fontId="1" fillId="2" borderId="1" xfId="0" applyFont="1" applyFill="1" applyBorder="1" applyAlignment="1">
      <alignment horizontal="center"/>
    </xf>
    <xf numFmtId="0" fontId="2" fillId="0" borderId="0" xfId="0" applyFont="1" applyAlignment="1">
      <alignment horizontal="left"/>
    </xf>
    <xf numFmtId="0" fontId="2" fillId="0" borderId="0" xfId="0" applyFont="1" applyAlignment="1">
      <alignment horizontal="center" vertical="center"/>
    </xf>
    <xf numFmtId="0" fontId="0" fillId="0" borderId="0" xfId="0" applyAlignment="1">
      <alignment horizontal="center"/>
    </xf>
    <xf numFmtId="0" fontId="0" fillId="0" borderId="0" xfId="0" applyAlignment="1">
      <alignment horizontal="right" readingOrder="2"/>
    </xf>
    <xf numFmtId="0" fontId="0" fillId="0" borderId="0" xfId="0" applyAlignment="1">
      <alignment horizontal="left"/>
    </xf>
    <xf numFmtId="0"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alignment horizontal="center"/>
    </dxf>
    <dxf>
      <font>
        <b/>
        <i val="0"/>
        <sz val="12"/>
        <color rgb="FF08D9D6"/>
        <name val="Arial"/>
        <family val="2"/>
        <scheme val="none"/>
      </font>
      <fill>
        <patternFill>
          <bgColor rgb="FF08D9D6"/>
        </patternFill>
      </fill>
      <border>
        <left style="thin">
          <color rgb="FFFF2E63"/>
        </left>
        <right style="thin">
          <color rgb="FFFF2E63"/>
        </right>
        <top style="thin">
          <color rgb="FFFF2E63"/>
        </top>
        <bottom style="thin">
          <color rgb="FFFF2E63"/>
        </bottom>
      </border>
    </dxf>
    <dxf>
      <font>
        <b val="0"/>
        <i val="0"/>
        <sz val="11"/>
        <color rgb="FF08D9D6"/>
        <name val="Arial"/>
        <family val="2"/>
        <scheme val="none"/>
      </font>
      <fill>
        <patternFill patternType="solid">
          <fgColor auto="1"/>
          <bgColor theme="1" tint="4.9989318521683403E-2"/>
        </patternFill>
      </fill>
      <border>
        <left style="thin">
          <color rgb="FFFF2E63"/>
        </left>
        <right style="thin">
          <color rgb="FFFF2E63"/>
        </right>
        <top style="thin">
          <color rgb="FFFF2E63"/>
        </top>
        <bottom style="thin">
          <color rgb="FFFF2E63"/>
        </bottom>
      </border>
    </dxf>
    <dxf>
      <fill>
        <patternFill>
          <bgColor rgb="FFEAEAEA"/>
        </patternFill>
      </fill>
    </dxf>
  </dxfs>
  <tableStyles count="7" defaultTableStyle="TableStyleMedium2" defaultPivotStyle="PivotStyleLight16">
    <tableStyle name="Slicer Style 1" pivot="0" table="0" count="1" xr9:uid="{1AB026DF-0210-4EE6-8B06-3ABBF3B0CE03}"/>
    <tableStyle name="Slicer Style 2" pivot="0" table="0" count="2" xr9:uid="{2A502842-9FD5-4B21-B57B-2112359A9690}">
      <tableStyleElement type="headerRow" dxfId="20"/>
    </tableStyle>
    <tableStyle name="Slicer Style 3" pivot="0" table="0" count="1" xr9:uid="{4BE8AF01-5EFA-410D-9880-A5555F5347C2}"/>
    <tableStyle name="Slicer Style 4" pivot="0" table="0" count="1" xr9:uid="{0DA7D91A-8272-4E83-8483-F3D55055F280}"/>
    <tableStyle name="Slicer Style 5" pivot="0" table="0" count="1" xr9:uid="{B0924521-46E5-4EA0-AC01-F30DD986526D}">
      <tableStyleElement type="wholeTable" dxfId="19"/>
    </tableStyle>
    <tableStyle name="Slicer Style 6" pivot="0" table="0" count="1" xr9:uid="{91253427-1A31-4E1D-9DA8-39F8547D3FA7}"/>
    <tableStyle name="Slicer Style 7" pivot="0" table="0" count="2" xr9:uid="{1B11D7AA-121C-4647-870A-D0D2566B8DF0}">
      <tableStyleElement type="headerRow" dxfId="18"/>
    </tableStyle>
  </tableStyles>
  <colors>
    <mruColors>
      <color rgb="FFFF2E63"/>
      <color rgb="FF08D9D6"/>
      <color rgb="FFEAEAEA"/>
      <color rgb="FF252A34"/>
    </mruColors>
  </colors>
  <extLst>
    <ext xmlns:x14="http://schemas.microsoft.com/office/spreadsheetml/2009/9/main" uri="{46F421CA-312F-682f-3DD2-61675219B42D}">
      <x14:dxfs count="6">
        <dxf>
          <font>
            <sz val="12"/>
            <color rgb="FF08D9D6"/>
            <name val="Arial"/>
            <family val="2"/>
            <scheme val="none"/>
          </font>
          <fill>
            <patternFill>
              <bgColor rgb="FF08D9D6"/>
            </patternFill>
          </fill>
          <border>
            <left style="thin">
              <color rgb="FFFF2E63"/>
            </left>
            <right style="thin">
              <color rgb="FFFF2E63"/>
            </right>
            <top style="thin">
              <color rgb="FFFF2E63"/>
            </top>
            <bottom style="thin">
              <color rgb="FFFF2E63"/>
            </bottom>
          </border>
        </dxf>
        <dxf>
          <font>
            <sz val="11"/>
            <color rgb="FF08D9D6"/>
            <name val="Arial"/>
            <family val="2"/>
            <scheme val="none"/>
          </font>
          <fill>
            <patternFill>
              <bgColor theme="1" tint="4.9989318521683403E-2"/>
            </patternFill>
          </fill>
          <border>
            <left style="thin">
              <color rgb="FFFF2E63"/>
            </left>
            <right style="thin">
              <color rgb="FFFF2E63"/>
            </right>
            <top style="thin">
              <color rgb="FFFF2E63"/>
            </top>
            <bottom style="thin">
              <color rgb="FFFF2E63"/>
            </bottom>
          </border>
        </dxf>
        <dxf>
          <font>
            <b val="0"/>
            <i val="0"/>
            <sz val="11"/>
            <name val="Arial"/>
            <family val="2"/>
            <scheme val="none"/>
          </font>
          <fill>
            <patternFill>
              <fgColor rgb="FF08D9D6"/>
              <bgColor rgb="FF252A34"/>
            </patternFill>
          </fill>
          <border>
            <left style="thin">
              <color rgb="FFFF2E63"/>
            </left>
            <right style="thin">
              <color rgb="FFFF2E63"/>
            </right>
            <top style="thin">
              <color rgb="FFFF2E63"/>
            </top>
            <bottom style="thin">
              <color rgb="FFFF2E63"/>
            </bottom>
          </border>
        </dxf>
        <dxf>
          <font>
            <b val="0"/>
            <i val="0"/>
            <strike val="0"/>
            <sz val="11"/>
            <name val="Arial"/>
            <family val="2"/>
            <scheme val="none"/>
          </font>
          <fill>
            <patternFill>
              <fgColor rgb="FF252A34"/>
              <bgColor rgb="FF08D9D6"/>
            </patternFill>
          </fill>
          <border>
            <left style="thin">
              <color rgb="FFFF2E63"/>
            </left>
            <right style="thin">
              <color rgb="FFFF2E63"/>
            </right>
            <top style="thin">
              <color rgb="FFFF2E63"/>
            </top>
            <bottom style="thin">
              <color rgb="FFFF2E63"/>
            </bottom>
          </border>
        </dxf>
        <dxf>
          <font>
            <sz val="11"/>
            <name val="Arial"/>
            <family val="2"/>
            <scheme val="none"/>
          </font>
          <fill>
            <patternFill>
              <fgColor rgb="FF08D9D6"/>
              <bgColor rgb="FF252A34"/>
            </patternFill>
          </fill>
        </dxf>
        <dxf>
          <font>
            <b/>
            <i val="0"/>
            <sz val="11"/>
            <name val="Arial"/>
            <family val="2"/>
            <scheme val="none"/>
          </font>
          <fill>
            <patternFill>
              <bgColor rgb="FF252A34"/>
            </patternFill>
          </fill>
        </dxf>
      </x14:dxfs>
    </ext>
    <ext xmlns:x14="http://schemas.microsoft.com/office/spreadsheetml/2009/9/main" uri="{EB79DEF2-80B8-43e5-95BD-54CBDDF9020C}">
      <x14:slicerStyles defaultSlicerStyle="Slicer Style 5">
        <x14:slicerStyle name="Slicer Style 1">
          <x14:slicerStyleElements>
            <x14:slicerStyleElement type="selectedItemWithData" dxfId="5"/>
          </x14:slicerStyleElements>
        </x14:slicerStyle>
        <x14:slicerStyle name="Slicer Style 2">
          <x14:slicerStyleElements>
            <x14:slicerStyleElement type="selectedItemWithData" dxfId="4"/>
          </x14:slicerStyleElements>
        </x14:slicerStyle>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s>
        </x14:slicerStyle>
        <x14:slicerStyle name="Slicer Style 5"/>
        <x14:slicerStyle name="Slicer Style 6">
          <x14:slicerStyleElements>
            <x14:slicerStyleElement type="selectedItemWithData" dxfId="1"/>
          </x14:slicerStyleElements>
        </x14:slicerStyle>
        <x14:slicerStyle name="Slicer Style 7">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.xlsx]Trend Analysis!PivotTable1</c:name>
    <c:fmtId val="11"/>
  </c:pivotSource>
  <c:chart>
    <c:title>
      <c:tx>
        <c:rich>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r>
              <a:rPr lang="en-US" b="1">
                <a:solidFill>
                  <a:srgbClr val="08D9D6"/>
                </a:solidFill>
                <a:latin typeface="Arial" panose="020B0604020202020204" pitchFamily="34" charset="0"/>
                <a:cs typeface="Arial" panose="020B0604020202020204" pitchFamily="34" charset="0"/>
              </a:rPr>
              <a:t>E-GOV Development Trend Over Time</a:t>
            </a:r>
          </a:p>
        </c:rich>
      </c:tx>
      <c:layout>
        <c:manualLayout>
          <c:xMode val="edge"/>
          <c:yMode val="edge"/>
          <c:x val="0.16526001974833529"/>
          <c:y val="4.43411240261633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rgbClr val="FF2E63"/>
            </a:solidFill>
            <a:round/>
          </a:ln>
          <a:effectLst/>
        </c:spPr>
        <c:marker>
          <c:symbol val="circle"/>
          <c:size val="5"/>
          <c:spPr>
            <a:noFill/>
            <a:ln w="5715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AEAEA">
                <a:alpha val="93000"/>
              </a:srgbClr>
            </a:solidFill>
            <a:round/>
          </a:ln>
          <a:effectLst/>
        </c:spPr>
        <c:marker>
          <c:symbol val="circle"/>
          <c:size val="5"/>
          <c:spPr>
            <a:noFill/>
            <a:ln w="635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2E63"/>
            </a:solidFill>
            <a:round/>
          </a:ln>
          <a:effectLst/>
        </c:spPr>
        <c:marker>
          <c:symbol val="circle"/>
          <c:size val="5"/>
          <c:spPr>
            <a:noFill/>
            <a:ln w="5715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2E63"/>
            </a:solidFill>
            <a:round/>
          </a:ln>
          <a:effectLst/>
        </c:spPr>
        <c:marker>
          <c:symbol val="circle"/>
          <c:size val="5"/>
          <c:spPr>
            <a:noFill/>
            <a:ln w="5715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EAEAEA">
                <a:alpha val="93000"/>
              </a:srgbClr>
            </a:solidFill>
            <a:round/>
          </a:ln>
          <a:effectLst/>
        </c:spPr>
        <c:marker>
          <c:symbol val="circle"/>
          <c:size val="5"/>
          <c:spPr>
            <a:noFill/>
            <a:ln w="635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2E63"/>
            </a:solidFill>
            <a:round/>
          </a:ln>
          <a:effectLst/>
        </c:spPr>
        <c:marker>
          <c:symbol val="circle"/>
          <c:size val="5"/>
          <c:spPr>
            <a:noFill/>
            <a:ln w="5715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2E63"/>
            </a:solidFill>
            <a:round/>
          </a:ln>
          <a:effectLst/>
        </c:spPr>
        <c:marker>
          <c:symbol val="circle"/>
          <c:size val="5"/>
          <c:spPr>
            <a:noFill/>
            <a:ln w="5715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5400"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EAEAEA">
                <a:alpha val="93000"/>
              </a:srgbClr>
            </a:solidFill>
            <a:round/>
          </a:ln>
          <a:effectLst/>
        </c:spPr>
        <c:marker>
          <c:symbol val="circle"/>
          <c:size val="5"/>
          <c:spPr>
            <a:noFill/>
            <a:ln w="635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2E63"/>
            </a:solidFill>
            <a:round/>
          </a:ln>
          <a:effectLst/>
        </c:spPr>
        <c:marker>
          <c:symbol val="circle"/>
          <c:size val="5"/>
          <c:spPr>
            <a:noFill/>
            <a:ln w="5715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2E63"/>
            </a:solidFill>
            <a:round/>
          </a:ln>
          <a:effectLst/>
        </c:spPr>
        <c:marker>
          <c:symbol val="circle"/>
          <c:size val="5"/>
          <c:spPr>
            <a:solidFill>
              <a:schemeClr val="accent1"/>
            </a:solid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45103407393524E-2"/>
          <c:y val="0.15010416666666668"/>
          <c:w val="0.57643840210909736"/>
          <c:h val="0.67525535645492873"/>
        </c:manualLayout>
      </c:layout>
      <c:lineChart>
        <c:grouping val="standard"/>
        <c:varyColors val="0"/>
        <c:ser>
          <c:idx val="0"/>
          <c:order val="0"/>
          <c:tx>
            <c:strRef>
              <c:f>'Trend Analysis'!$B$10:$B$11</c:f>
              <c:strCache>
                <c:ptCount val="1"/>
                <c:pt idx="0">
                  <c:v>Egypt, Arab Rep</c:v>
                </c:pt>
              </c:strCache>
            </c:strRef>
          </c:tx>
          <c:spPr>
            <a:ln w="28575" cap="rnd">
              <a:solidFill>
                <a:srgbClr val="FF2E63"/>
              </a:solidFill>
              <a:round/>
            </a:ln>
            <a:effectLst/>
          </c:spPr>
          <c:marker>
            <c:symbol val="circle"/>
            <c:size val="5"/>
            <c:spPr>
              <a:noFill/>
              <a:ln w="57150">
                <a:solidFill>
                  <a:srgbClr val="FF2E63"/>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Analysis'!$B$12:$B$21</c:f>
              <c:numCache>
                <c:formatCode>General</c:formatCode>
                <c:ptCount val="10"/>
                <c:pt idx="1">
                  <c:v>0.45940999999999993</c:v>
                </c:pt>
                <c:pt idx="3">
                  <c:v>0.48803333333333332</c:v>
                </c:pt>
                <c:pt idx="5">
                  <c:v>0.55269999999999997</c:v>
                </c:pt>
                <c:pt idx="7">
                  <c:v>0.58946666666666669</c:v>
                </c:pt>
                <c:pt idx="9">
                  <c:v>0.6699166666666666</c:v>
                </c:pt>
              </c:numCache>
            </c:numRef>
          </c:val>
          <c:smooth val="0"/>
          <c:extLst>
            <c:ext xmlns:c16="http://schemas.microsoft.com/office/drawing/2014/chart" uri="{C3380CC4-5D6E-409C-BE32-E72D297353CC}">
              <c16:uniqueId val="{00000000-5793-4BCF-9C82-DFDE740250B1}"/>
            </c:ext>
          </c:extLst>
        </c:ser>
        <c:ser>
          <c:idx val="1"/>
          <c:order val="1"/>
          <c:tx>
            <c:strRef>
              <c:f>'Trend Analysis'!$C$10:$C$11</c:f>
              <c:strCache>
                <c:ptCount val="1"/>
                <c:pt idx="0">
                  <c:v>India</c:v>
                </c:pt>
              </c:strCache>
            </c:strRef>
          </c:tx>
          <c:spPr>
            <a:ln w="25400" cap="rnd">
              <a:solidFill>
                <a:srgbClr val="08D9D6"/>
              </a:solidFill>
              <a:round/>
            </a:ln>
            <a:effectLst/>
          </c:spPr>
          <c:marker>
            <c:symbol val="circle"/>
            <c:size val="5"/>
            <c:spPr>
              <a:noFill/>
              <a:ln w="50800">
                <a:solidFill>
                  <a:srgbClr val="08D9D6"/>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Analysis'!$C$12:$C$21</c:f>
              <c:numCache>
                <c:formatCode>General</c:formatCode>
                <c:ptCount val="10"/>
                <c:pt idx="1">
                  <c:v>0.46374999999999994</c:v>
                </c:pt>
                <c:pt idx="3">
                  <c:v>0.56690000000000007</c:v>
                </c:pt>
                <c:pt idx="5">
                  <c:v>0.59639999999999993</c:v>
                </c:pt>
                <c:pt idx="7">
                  <c:v>0.58829999999999993</c:v>
                </c:pt>
                <c:pt idx="9">
                  <c:v>0.66777666666666669</c:v>
                </c:pt>
              </c:numCache>
            </c:numRef>
          </c:val>
          <c:smooth val="0"/>
          <c:extLst>
            <c:ext xmlns:c16="http://schemas.microsoft.com/office/drawing/2014/chart" uri="{C3380CC4-5D6E-409C-BE32-E72D297353CC}">
              <c16:uniqueId val="{00000000-2843-4381-8FFC-06F3665AE232}"/>
            </c:ext>
          </c:extLst>
        </c:ser>
        <c:ser>
          <c:idx val="2"/>
          <c:order val="2"/>
          <c:tx>
            <c:strRef>
              <c:f>'Trend Analysis'!$D$10:$D$11</c:f>
              <c:strCache>
                <c:ptCount val="1"/>
                <c:pt idx="0">
                  <c:v>Saudi Arabia</c:v>
                </c:pt>
              </c:strCache>
            </c:strRef>
          </c:tx>
          <c:spPr>
            <a:ln w="28575" cap="rnd">
              <a:solidFill>
                <a:srgbClr val="EAEAEA">
                  <a:alpha val="93000"/>
                </a:srgbClr>
              </a:solidFill>
              <a:round/>
            </a:ln>
            <a:effectLst/>
          </c:spPr>
          <c:marker>
            <c:symbol val="circle"/>
            <c:size val="5"/>
            <c:spPr>
              <a:noFill/>
              <a:ln w="63500">
                <a:solidFill>
                  <a:srgbClr val="EAEAEA"/>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Analysis'!$D$12:$D$21</c:f>
              <c:numCache>
                <c:formatCode>General</c:formatCode>
                <c:ptCount val="10"/>
                <c:pt idx="1">
                  <c:v>0.68223666666666671</c:v>
                </c:pt>
                <c:pt idx="3">
                  <c:v>0.71189999999999998</c:v>
                </c:pt>
                <c:pt idx="5">
                  <c:v>0.79906666666666659</c:v>
                </c:pt>
                <c:pt idx="7">
                  <c:v>0.85389999999999999</c:v>
                </c:pt>
                <c:pt idx="9">
                  <c:v>0.96024000000000009</c:v>
                </c:pt>
              </c:numCache>
            </c:numRef>
          </c:val>
          <c:smooth val="0"/>
          <c:extLst>
            <c:ext xmlns:c16="http://schemas.microsoft.com/office/drawing/2014/chart" uri="{C3380CC4-5D6E-409C-BE32-E72D297353CC}">
              <c16:uniqueId val="{00000001-2843-4381-8FFC-06F3665AE232}"/>
            </c:ext>
          </c:extLst>
        </c:ser>
        <c:ser>
          <c:idx val="3"/>
          <c:order val="3"/>
          <c:tx>
            <c:strRef>
              <c:f>'Trend Analysis'!$E$10:$E$11</c:f>
              <c:strCache>
                <c:ptCount val="1"/>
                <c:pt idx="0">
                  <c:v>United Arab Emirates</c:v>
                </c:pt>
              </c:strCache>
            </c:strRef>
          </c:tx>
          <c:spPr>
            <a:ln w="28575" cap="rnd">
              <a:solidFill>
                <a:srgbClr val="FF2E63"/>
              </a:solidFill>
              <a:round/>
            </a:ln>
            <a:effectLst/>
          </c:spPr>
          <c:marker>
            <c:symbol val="circle"/>
            <c:size val="5"/>
            <c:spPr>
              <a:noFill/>
              <a:ln w="57150">
                <a:solidFill>
                  <a:srgbClr val="FF2E63"/>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Analysis'!$E$12:$E$21</c:f>
              <c:numCache>
                <c:formatCode>General</c:formatCode>
                <c:ptCount val="10"/>
                <c:pt idx="1">
                  <c:v>0.75152999999999992</c:v>
                </c:pt>
                <c:pt idx="3">
                  <c:v>0.82950000000000002</c:v>
                </c:pt>
                <c:pt idx="5">
                  <c:v>0.8554666666666666</c:v>
                </c:pt>
                <c:pt idx="7">
                  <c:v>0.90103333333333335</c:v>
                </c:pt>
                <c:pt idx="9">
                  <c:v>0.95327333333333331</c:v>
                </c:pt>
              </c:numCache>
            </c:numRef>
          </c:val>
          <c:smooth val="0"/>
          <c:extLst>
            <c:ext xmlns:c16="http://schemas.microsoft.com/office/drawing/2014/chart" uri="{C3380CC4-5D6E-409C-BE32-E72D297353CC}">
              <c16:uniqueId val="{00000002-2843-4381-8FFC-06F3665AE232}"/>
            </c:ext>
          </c:extLst>
        </c:ser>
        <c:ser>
          <c:idx val="4"/>
          <c:order val="4"/>
          <c:tx>
            <c:strRef>
              <c:f>'Trend Analysis'!$F$10:$F$11</c:f>
              <c:strCache>
                <c:ptCount val="1"/>
                <c:pt idx="0">
                  <c:v>United Kingdom</c:v>
                </c:pt>
              </c:strCache>
            </c:strRef>
          </c:tx>
          <c:spPr>
            <a:ln w="28575" cap="rnd">
              <a:solidFill>
                <a:srgbClr val="08D9D6"/>
              </a:solidFill>
              <a:round/>
            </a:ln>
            <a:effectLst/>
          </c:spPr>
          <c:marker>
            <c:symbol val="circle"/>
            <c:size val="5"/>
            <c:spPr>
              <a:noFill/>
              <a:ln w="50800">
                <a:solidFill>
                  <a:srgbClr val="08D9D6"/>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Analysis'!$F$12:$F$21</c:f>
              <c:numCache>
                <c:formatCode>General</c:formatCode>
                <c:ptCount val="10"/>
                <c:pt idx="1">
                  <c:v>0.91927999999999999</c:v>
                </c:pt>
                <c:pt idx="3">
                  <c:v>0.89986666666666659</c:v>
                </c:pt>
                <c:pt idx="5">
                  <c:v>0.93583333333333341</c:v>
                </c:pt>
                <c:pt idx="7">
                  <c:v>0.91380000000000006</c:v>
                </c:pt>
                <c:pt idx="9">
                  <c:v>0.95771333333333342</c:v>
                </c:pt>
              </c:numCache>
            </c:numRef>
          </c:val>
          <c:smooth val="0"/>
          <c:extLst>
            <c:ext xmlns:c16="http://schemas.microsoft.com/office/drawing/2014/chart" uri="{C3380CC4-5D6E-409C-BE32-E72D297353CC}">
              <c16:uniqueId val="{00000003-2843-4381-8FFC-06F3665AE232}"/>
            </c:ext>
          </c:extLst>
        </c:ser>
        <c:dLbls>
          <c:showLegendKey val="0"/>
          <c:showVal val="0"/>
          <c:showCatName val="0"/>
          <c:showSerName val="0"/>
          <c:showPercent val="0"/>
          <c:showBubbleSize val="0"/>
        </c:dLbls>
        <c:marker val="1"/>
        <c:smooth val="0"/>
        <c:axId val="449987839"/>
        <c:axId val="449974399"/>
      </c:lineChart>
      <c:catAx>
        <c:axId val="449987839"/>
        <c:scaling>
          <c:orientation val="minMax"/>
        </c:scaling>
        <c:delete val="0"/>
        <c:axPos val="b"/>
        <c:numFmt formatCode="General" sourceLinked="1"/>
        <c:majorTickMark val="none"/>
        <c:minorTickMark val="out"/>
        <c:tickLblPos val="nextTo"/>
        <c:spPr>
          <a:noFill/>
          <a:ln w="0" cap="rnd" cmpd="sng" algn="ctr">
            <a:solidFill>
              <a:srgbClr val="FF2E63"/>
            </a:solidFill>
            <a:round/>
          </a:ln>
          <a:effectLst/>
        </c:spPr>
        <c:txPr>
          <a:bodyPr rot="-5400000" spcFirstLastPara="1" vertOverflow="ellipsis"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49974399"/>
        <c:crosses val="autoZero"/>
        <c:auto val="1"/>
        <c:lblAlgn val="ctr"/>
        <c:lblOffset val="100"/>
        <c:noMultiLvlLbl val="0"/>
      </c:catAx>
      <c:valAx>
        <c:axId val="449974399"/>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EAEAEA"/>
                    </a:solidFill>
                    <a:latin typeface="+mn-lt"/>
                    <a:ea typeface="+mn-ea"/>
                    <a:cs typeface="+mn-cs"/>
                  </a:defRPr>
                </a:pPr>
                <a:r>
                  <a:rPr lang="en-US">
                    <a:solidFill>
                      <a:srgbClr val="08D9D6"/>
                    </a:solidFill>
                  </a:rPr>
                  <a:t>Avg_EGOV_Index</a:t>
                </a:r>
              </a:p>
            </c:rich>
          </c:tx>
          <c:layout>
            <c:manualLayout>
              <c:xMode val="edge"/>
              <c:yMode val="edge"/>
              <c:x val="9.5886451693538309E-5"/>
              <c:y val="0.314019724807126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EAEAEA"/>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49987839"/>
        <c:crosses val="autoZero"/>
        <c:crossBetween val="between"/>
      </c:valAx>
      <c:spPr>
        <a:noFill/>
        <a:ln>
          <a:noFill/>
        </a:ln>
        <a:effectLst/>
      </c:spPr>
    </c:plotArea>
    <c:legend>
      <c:legendPos val="r"/>
      <c:layout>
        <c:manualLayout>
          <c:xMode val="edge"/>
          <c:yMode val="edge"/>
          <c:x val="0.71346609017622786"/>
          <c:y val="0.37506237646220147"/>
          <c:w val="0.28653390982377203"/>
          <c:h val="0.4027658474508868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.xlsx]Trend Analysis!PivotTable2</c:name>
    <c:fmtId val="14"/>
  </c:pivotSource>
  <c:chart>
    <c:title>
      <c:tx>
        <c:rich>
          <a:bodyPr rot="0" spcFirstLastPara="1" vertOverflow="ellipsis" vert="horz" wrap="square" anchor="ctr" anchorCtr="1"/>
          <a:lstStyle/>
          <a:p>
            <a:pPr>
              <a:defRPr sz="1400" b="1" i="0" u="none" strike="noStrike" kern="1200" spc="0" baseline="0">
                <a:solidFill>
                  <a:srgbClr val="08D9D6"/>
                </a:solidFill>
                <a:latin typeface="+mn-lt"/>
                <a:ea typeface="+mn-ea"/>
                <a:cs typeface="+mn-cs"/>
              </a:defRPr>
            </a:pPr>
            <a:r>
              <a:rPr lang="en-US" sz="1400" b="1" i="0" u="none" strike="noStrike" kern="1200" spc="0" baseline="0">
                <a:solidFill>
                  <a:srgbClr val="08D9D6"/>
                </a:solidFill>
                <a:latin typeface="Arial" panose="020B0604020202020204" pitchFamily="34" charset="0"/>
                <a:cs typeface="Arial" panose="020B0604020202020204" pitchFamily="34" charset="0"/>
              </a:rPr>
              <a:t>Internet Penetration Trend Over Time</a:t>
            </a:r>
            <a:endParaRPr lang="en-US" sz="1400" b="1">
              <a:solidFill>
                <a:srgbClr val="08D9D6"/>
              </a:solidFill>
            </a:endParaRPr>
          </a:p>
        </c:rich>
      </c:tx>
      <c:layout>
        <c:manualLayout>
          <c:xMode val="edge"/>
          <c:yMode val="edge"/>
          <c:x val="0.19396007958682585"/>
          <c:y val="4.32389937106918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8D9D6"/>
              </a:solidFill>
              <a:latin typeface="+mn-lt"/>
              <a:ea typeface="+mn-ea"/>
              <a:cs typeface="+mn-cs"/>
            </a:defRPr>
          </a:pPr>
          <a:endParaRPr lang="en-US"/>
        </a:p>
      </c:txPr>
    </c:title>
    <c:autoTitleDeleted val="0"/>
    <c:pivotFmts>
      <c:pivotFmt>
        <c:idx val="0"/>
        <c:spPr>
          <a:solidFill>
            <a:schemeClr val="accent1"/>
          </a:solidFill>
          <a:ln w="28575" cap="rnd">
            <a:solidFill>
              <a:srgbClr val="FF2E63"/>
            </a:solidFill>
            <a:round/>
          </a:ln>
          <a:effectLst/>
        </c:spPr>
        <c:marker>
          <c:symbol val="circle"/>
          <c:size val="5"/>
          <c:spPr>
            <a:solidFill>
              <a:srgbClr val="FF2E63"/>
            </a:solidFill>
            <a:ln w="254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8D9D6"/>
            </a:solidFill>
            <a:round/>
          </a:ln>
          <a:effectLst/>
        </c:spPr>
        <c:marker>
          <c:symbol val="circle"/>
          <c:size val="5"/>
          <c:spPr>
            <a:noFill/>
            <a:ln w="254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AEAEA"/>
            </a:solidFill>
            <a:round/>
          </a:ln>
          <a:effectLst/>
        </c:spPr>
        <c:marker>
          <c:symbol val="circle"/>
          <c:size val="5"/>
          <c:spPr>
            <a:noFill/>
            <a:ln w="254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2E63"/>
            </a:solidFill>
            <a:round/>
          </a:ln>
          <a:effectLst/>
        </c:spPr>
        <c:marker>
          <c:symbol val="circle"/>
          <c:size val="5"/>
          <c:spPr>
            <a:noFill/>
            <a:ln w="254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8D9D6"/>
            </a:solidFill>
            <a:round/>
          </a:ln>
          <a:effectLst/>
        </c:spPr>
        <c:marker>
          <c:symbol val="circle"/>
          <c:size val="5"/>
          <c:spPr>
            <a:noFill/>
            <a:ln w="254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2E63"/>
            </a:solidFill>
            <a:round/>
          </a:ln>
          <a:effectLst/>
        </c:spPr>
        <c:marker>
          <c:symbol val="circle"/>
          <c:size val="5"/>
          <c:spPr>
            <a:solidFill>
              <a:srgbClr val="FF2E63"/>
            </a:solidFill>
            <a:ln w="254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2E63"/>
            </a:solidFill>
            <a:round/>
          </a:ln>
          <a:effectLst/>
        </c:spPr>
        <c:marker>
          <c:symbol val="circle"/>
          <c:size val="5"/>
          <c:spPr>
            <a:solidFill>
              <a:srgbClr val="FF2E63"/>
            </a:solidFill>
            <a:ln w="254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8D9D6"/>
            </a:solidFill>
            <a:round/>
          </a:ln>
          <a:effectLst/>
        </c:spPr>
        <c:marker>
          <c:symbol val="circle"/>
          <c:size val="5"/>
          <c:spPr>
            <a:noFill/>
            <a:ln w="254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EAEAEA"/>
            </a:solidFill>
            <a:round/>
          </a:ln>
          <a:effectLst/>
        </c:spPr>
        <c:marker>
          <c:symbol val="circle"/>
          <c:size val="5"/>
          <c:spPr>
            <a:noFill/>
            <a:ln w="254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2E63"/>
            </a:solidFill>
            <a:round/>
          </a:ln>
          <a:effectLst/>
        </c:spPr>
        <c:marker>
          <c:symbol val="circle"/>
          <c:size val="5"/>
          <c:spPr>
            <a:noFill/>
            <a:ln w="254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8D9D6"/>
            </a:solidFill>
            <a:round/>
          </a:ln>
          <a:effectLst/>
        </c:spPr>
        <c:marker>
          <c:symbol val="circle"/>
          <c:size val="5"/>
          <c:spPr>
            <a:noFill/>
            <a:ln w="254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2E63"/>
            </a:solidFill>
            <a:round/>
          </a:ln>
          <a:effectLst/>
        </c:spPr>
        <c:marker>
          <c:symbol val="circle"/>
          <c:size val="5"/>
          <c:spPr>
            <a:solidFill>
              <a:srgbClr val="FF2E63"/>
            </a:solidFill>
            <a:ln w="254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8D9D6"/>
            </a:solidFill>
            <a:round/>
          </a:ln>
          <a:effectLst/>
        </c:spPr>
        <c:marker>
          <c:symbol val="circle"/>
          <c:size val="5"/>
          <c:spPr>
            <a:noFill/>
            <a:ln w="254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EAEAEA"/>
            </a:solidFill>
            <a:round/>
          </a:ln>
          <a:effectLst/>
        </c:spPr>
        <c:marker>
          <c:symbol val="circle"/>
          <c:size val="5"/>
          <c:spPr>
            <a:noFill/>
            <a:ln w="254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2E63"/>
            </a:solidFill>
            <a:round/>
          </a:ln>
          <a:effectLst/>
        </c:spPr>
        <c:marker>
          <c:symbol val="circle"/>
          <c:size val="5"/>
          <c:spPr>
            <a:noFill/>
            <a:ln w="254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8D9D6"/>
            </a:solidFill>
            <a:round/>
          </a:ln>
          <a:effectLst/>
        </c:spPr>
        <c:marker>
          <c:symbol val="circle"/>
          <c:size val="5"/>
          <c:spPr>
            <a:noFill/>
            <a:ln w="254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cap="rnd">
            <a:solidFill>
              <a:srgbClr val="FF2E63"/>
            </a:solidFill>
            <a:round/>
          </a:ln>
          <a:effectLst/>
        </c:spPr>
        <c:marker>
          <c:symbol val="circle"/>
          <c:size val="5"/>
          <c:spPr>
            <a:solidFill>
              <a:srgbClr val="FF2E63"/>
            </a:solid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Analysis'!$B$29:$B$30</c:f>
              <c:strCache>
                <c:ptCount val="1"/>
                <c:pt idx="0">
                  <c:v>Egypt, Arab Rep</c:v>
                </c:pt>
              </c:strCache>
            </c:strRef>
          </c:tx>
          <c:spPr>
            <a:ln w="28575" cap="rnd">
              <a:solidFill>
                <a:srgbClr val="FF2E63"/>
              </a:solidFill>
              <a:round/>
            </a:ln>
            <a:effectLst/>
          </c:spPr>
          <c:marker>
            <c:symbol val="circle"/>
            <c:size val="5"/>
            <c:spPr>
              <a:solidFill>
                <a:srgbClr val="FF2E63"/>
              </a:solidFill>
              <a:ln w="25400">
                <a:solidFill>
                  <a:srgbClr val="FF2E63"/>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Analysis'!$B$31:$B$40</c:f>
              <c:numCache>
                <c:formatCode>General</c:formatCode>
                <c:ptCount val="10"/>
                <c:pt idx="0">
                  <c:v>0.39615535655501877</c:v>
                </c:pt>
                <c:pt idx="1">
                  <c:v>0.47174172603804787</c:v>
                </c:pt>
                <c:pt idx="2">
                  <c:v>0.53624185486315334</c:v>
                </c:pt>
                <c:pt idx="3">
                  <c:v>0.42333060520496224</c:v>
                </c:pt>
                <c:pt idx="4">
                  <c:v>0.30304255632585003</c:v>
                </c:pt>
                <c:pt idx="5">
                  <c:v>0.3288000967112189</c:v>
                </c:pt>
                <c:pt idx="6">
                  <c:v>0.34016809014661648</c:v>
                </c:pt>
                <c:pt idx="7">
                  <c:v>0.35560602035979932</c:v>
                </c:pt>
                <c:pt idx="8">
                  <c:v>0.38245536704512506</c:v>
                </c:pt>
                <c:pt idx="9">
                  <c:v>0.39942628696977533</c:v>
                </c:pt>
              </c:numCache>
            </c:numRef>
          </c:val>
          <c:smooth val="0"/>
          <c:extLst>
            <c:ext xmlns:c16="http://schemas.microsoft.com/office/drawing/2014/chart" uri="{C3380CC4-5D6E-409C-BE32-E72D297353CC}">
              <c16:uniqueId val="{00000000-C7FD-4EA2-B5AA-4553859FEBC0}"/>
            </c:ext>
          </c:extLst>
        </c:ser>
        <c:ser>
          <c:idx val="1"/>
          <c:order val="1"/>
          <c:tx>
            <c:strRef>
              <c:f>'Trend Analysis'!$C$29:$C$30</c:f>
              <c:strCache>
                <c:ptCount val="1"/>
                <c:pt idx="0">
                  <c:v>India</c:v>
                </c:pt>
              </c:strCache>
            </c:strRef>
          </c:tx>
          <c:spPr>
            <a:ln w="28575" cap="rnd">
              <a:solidFill>
                <a:srgbClr val="08D9D6"/>
              </a:solidFill>
              <a:round/>
            </a:ln>
            <a:effectLst/>
          </c:spPr>
          <c:marker>
            <c:symbol val="circle"/>
            <c:size val="5"/>
            <c:spPr>
              <a:noFill/>
              <a:ln w="25400">
                <a:solidFill>
                  <a:srgbClr val="08D9D6"/>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Analysis'!$C$31:$C$40</c:f>
              <c:numCache>
                <c:formatCode>General</c:formatCode>
                <c:ptCount val="10"/>
                <c:pt idx="0">
                  <c:v>7.1035103721290654E-2</c:v>
                </c:pt>
                <c:pt idx="1">
                  <c:v>7.7897118660340922E-2</c:v>
                </c:pt>
                <c:pt idx="2">
                  <c:v>5.2823426366916469E-2</c:v>
                </c:pt>
                <c:pt idx="3">
                  <c:v>0.34930448549877452</c:v>
                </c:pt>
                <c:pt idx="4">
                  <c:v>0.26480192894037091</c:v>
                </c:pt>
                <c:pt idx="5">
                  <c:v>0.25976404611880771</c:v>
                </c:pt>
                <c:pt idx="6">
                  <c:v>0.30331355313585251</c:v>
                </c:pt>
                <c:pt idx="7">
                  <c:v>0.33933877582069583</c:v>
                </c:pt>
                <c:pt idx="8">
                  <c:v>0.41050433597543207</c:v>
                </c:pt>
                <c:pt idx="9">
                  <c:v>0.43199623104103729</c:v>
                </c:pt>
              </c:numCache>
            </c:numRef>
          </c:val>
          <c:smooth val="0"/>
          <c:extLst>
            <c:ext xmlns:c16="http://schemas.microsoft.com/office/drawing/2014/chart" uri="{C3380CC4-5D6E-409C-BE32-E72D297353CC}">
              <c16:uniqueId val="{00000000-8456-4F35-B7C4-2EC447B0E774}"/>
            </c:ext>
          </c:extLst>
        </c:ser>
        <c:ser>
          <c:idx val="2"/>
          <c:order val="2"/>
          <c:tx>
            <c:strRef>
              <c:f>'Trend Analysis'!$D$29:$D$30</c:f>
              <c:strCache>
                <c:ptCount val="1"/>
                <c:pt idx="0">
                  <c:v>Saudi Arabia</c:v>
                </c:pt>
              </c:strCache>
            </c:strRef>
          </c:tx>
          <c:spPr>
            <a:ln w="28575" cap="rnd">
              <a:solidFill>
                <a:srgbClr val="EAEAEA"/>
              </a:solidFill>
              <a:round/>
            </a:ln>
            <a:effectLst/>
          </c:spPr>
          <c:marker>
            <c:symbol val="circle"/>
            <c:size val="5"/>
            <c:spPr>
              <a:noFill/>
              <a:ln w="25400">
                <a:solidFill>
                  <a:srgbClr val="EAEAEA"/>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Analysis'!$D$31:$D$40</c:f>
              <c:numCache>
                <c:formatCode>General</c:formatCode>
                <c:ptCount val="10"/>
                <c:pt idx="0">
                  <c:v>0.61190944674947856</c:v>
                </c:pt>
                <c:pt idx="1">
                  <c:v>0.65753361589895998</c:v>
                </c:pt>
                <c:pt idx="2">
                  <c:v>0.66175924462062174</c:v>
                </c:pt>
                <c:pt idx="3">
                  <c:v>0.70653108563382361</c:v>
                </c:pt>
                <c:pt idx="4">
                  <c:v>0.50821065820494249</c:v>
                </c:pt>
                <c:pt idx="5">
                  <c:v>0.53791687374589381</c:v>
                </c:pt>
                <c:pt idx="6">
                  <c:v>0.55881088042802274</c:v>
                </c:pt>
                <c:pt idx="7">
                  <c:v>0.56067210608207829</c:v>
                </c:pt>
                <c:pt idx="8">
                  <c:v>0.6474793460564412</c:v>
                </c:pt>
                <c:pt idx="9">
                  <c:v>0.75154041525951532</c:v>
                </c:pt>
              </c:numCache>
            </c:numRef>
          </c:val>
          <c:smooth val="0"/>
          <c:extLst>
            <c:ext xmlns:c16="http://schemas.microsoft.com/office/drawing/2014/chart" uri="{C3380CC4-5D6E-409C-BE32-E72D297353CC}">
              <c16:uniqueId val="{00000001-8456-4F35-B7C4-2EC447B0E774}"/>
            </c:ext>
          </c:extLst>
        </c:ser>
        <c:ser>
          <c:idx val="3"/>
          <c:order val="3"/>
          <c:tx>
            <c:strRef>
              <c:f>'Trend Analysis'!$E$29:$E$30</c:f>
              <c:strCache>
                <c:ptCount val="1"/>
                <c:pt idx="0">
                  <c:v>United Arab Emirates</c:v>
                </c:pt>
              </c:strCache>
            </c:strRef>
          </c:tx>
          <c:spPr>
            <a:ln w="28575" cap="rnd">
              <a:solidFill>
                <a:srgbClr val="FF2E63"/>
              </a:solidFill>
              <a:round/>
            </a:ln>
            <a:effectLst/>
          </c:spPr>
          <c:marker>
            <c:symbol val="circle"/>
            <c:size val="5"/>
            <c:spPr>
              <a:noFill/>
              <a:ln w="25400">
                <a:solidFill>
                  <a:srgbClr val="FF2E63"/>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Analysis'!$E$31:$E$40</c:f>
              <c:numCache>
                <c:formatCode>General</c:formatCode>
                <c:ptCount val="10"/>
                <c:pt idx="0">
                  <c:v>0.67705505452777937</c:v>
                </c:pt>
                <c:pt idx="1">
                  <c:v>0.70530673184697135</c:v>
                </c:pt>
                <c:pt idx="2">
                  <c:v>0.78010320862476923</c:v>
                </c:pt>
                <c:pt idx="3">
                  <c:v>0.79304168243860329</c:v>
                </c:pt>
                <c:pt idx="4">
                  <c:v>0.59675259273086712</c:v>
                </c:pt>
                <c:pt idx="5">
                  <c:v>0.73536569421315634</c:v>
                </c:pt>
                <c:pt idx="6">
                  <c:v>0.85655199225670942</c:v>
                </c:pt>
                <c:pt idx="7">
                  <c:v>0.81785874388928304</c:v>
                </c:pt>
                <c:pt idx="8">
                  <c:v>0.89159615921585211</c:v>
                </c:pt>
                <c:pt idx="9">
                  <c:v>0.95780394419774162</c:v>
                </c:pt>
              </c:numCache>
            </c:numRef>
          </c:val>
          <c:smooth val="0"/>
          <c:extLst>
            <c:ext xmlns:c16="http://schemas.microsoft.com/office/drawing/2014/chart" uri="{C3380CC4-5D6E-409C-BE32-E72D297353CC}">
              <c16:uniqueId val="{00000002-8456-4F35-B7C4-2EC447B0E774}"/>
            </c:ext>
          </c:extLst>
        </c:ser>
        <c:ser>
          <c:idx val="4"/>
          <c:order val="4"/>
          <c:tx>
            <c:strRef>
              <c:f>'Trend Analysis'!$F$29:$F$30</c:f>
              <c:strCache>
                <c:ptCount val="1"/>
                <c:pt idx="0">
                  <c:v>United Kingdom</c:v>
                </c:pt>
              </c:strCache>
            </c:strRef>
          </c:tx>
          <c:spPr>
            <a:ln w="28575" cap="rnd">
              <a:solidFill>
                <a:srgbClr val="08D9D6"/>
              </a:solidFill>
              <a:round/>
            </a:ln>
            <a:effectLst/>
          </c:spPr>
          <c:marker>
            <c:symbol val="circle"/>
            <c:size val="5"/>
            <c:spPr>
              <a:noFill/>
              <a:ln w="25400">
                <a:solidFill>
                  <a:srgbClr val="08D9D6"/>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Analysis'!$F$31:$F$40</c:f>
              <c:numCache>
                <c:formatCode>General</c:formatCode>
                <c:ptCount val="10"/>
                <c:pt idx="0">
                  <c:v>0.83328053612667397</c:v>
                </c:pt>
                <c:pt idx="1">
                  <c:v>0.84992643116647115</c:v>
                </c:pt>
                <c:pt idx="2">
                  <c:v>0.80547826049508897</c:v>
                </c:pt>
                <c:pt idx="3">
                  <c:v>0.80291156167036537</c:v>
                </c:pt>
                <c:pt idx="4">
                  <c:v>0.57618978344839666</c:v>
                </c:pt>
                <c:pt idx="5">
                  <c:v>0.57077824848390835</c:v>
                </c:pt>
                <c:pt idx="6">
                  <c:v>0.64291908232424677</c:v>
                </c:pt>
                <c:pt idx="7">
                  <c:v>0.67430668369218993</c:v>
                </c:pt>
                <c:pt idx="8">
                  <c:v>0.70395887434193438</c:v>
                </c:pt>
                <c:pt idx="9">
                  <c:v>0.73587031164722849</c:v>
                </c:pt>
              </c:numCache>
            </c:numRef>
          </c:val>
          <c:smooth val="0"/>
          <c:extLst>
            <c:ext xmlns:c16="http://schemas.microsoft.com/office/drawing/2014/chart" uri="{C3380CC4-5D6E-409C-BE32-E72D297353CC}">
              <c16:uniqueId val="{00000003-8456-4F35-B7C4-2EC447B0E774}"/>
            </c:ext>
          </c:extLst>
        </c:ser>
        <c:dLbls>
          <c:showLegendKey val="0"/>
          <c:showVal val="0"/>
          <c:showCatName val="0"/>
          <c:showSerName val="0"/>
          <c:showPercent val="0"/>
          <c:showBubbleSize val="0"/>
        </c:dLbls>
        <c:marker val="1"/>
        <c:smooth val="0"/>
        <c:axId val="415208607"/>
        <c:axId val="415209087"/>
      </c:lineChart>
      <c:catAx>
        <c:axId val="415208607"/>
        <c:scaling>
          <c:orientation val="minMax"/>
        </c:scaling>
        <c:delete val="0"/>
        <c:axPos val="b"/>
        <c:numFmt formatCode="General" sourceLinked="1"/>
        <c:majorTickMark val="none"/>
        <c:minorTickMark val="out"/>
        <c:tickLblPos val="nextTo"/>
        <c:spPr>
          <a:noFill/>
          <a:ln w="0" cap="rnd" cmpd="sng" algn="ctr">
            <a:solidFill>
              <a:srgbClr val="FF2E63"/>
            </a:solidFill>
            <a:round/>
          </a:ln>
          <a:effectLst/>
        </c:spPr>
        <c:txPr>
          <a:bodyPr rot="-5400000" spcFirstLastPara="1" vertOverflow="ellipsis" wrap="square" anchor="ctr" anchorCtr="1"/>
          <a:lstStyle/>
          <a:p>
            <a:pPr algn="ctr">
              <a:defRPr lang="en-US"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15209087"/>
        <c:crosses val="autoZero"/>
        <c:auto val="1"/>
        <c:lblAlgn val="ctr"/>
        <c:lblOffset val="100"/>
        <c:noMultiLvlLbl val="0"/>
      </c:catAx>
      <c:valAx>
        <c:axId val="415209087"/>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EAEAEA"/>
                    </a:solidFill>
                    <a:latin typeface="+mn-lt"/>
                    <a:ea typeface="+mn-ea"/>
                    <a:cs typeface="+mn-cs"/>
                  </a:defRPr>
                </a:pPr>
                <a:r>
                  <a:rPr lang="en-US">
                    <a:solidFill>
                      <a:srgbClr val="08D9D6"/>
                    </a:solidFill>
                  </a:rPr>
                  <a:t>Avg_Internet_Penetration_Index</a:t>
                </a:r>
              </a:p>
            </c:rich>
          </c:tx>
          <c:layout>
            <c:manualLayout>
              <c:xMode val="edge"/>
              <c:yMode val="edge"/>
              <c:x val="1.4388489208633094E-2"/>
              <c:y val="0.156545820745216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EAEAEA"/>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15208607"/>
        <c:crosses val="autoZero"/>
        <c:crossBetween val="between"/>
      </c:valAx>
      <c:spPr>
        <a:noFill/>
        <a:ln>
          <a:noFill/>
        </a:ln>
        <a:effectLst/>
      </c:spPr>
    </c:plotArea>
    <c:legend>
      <c:legendPos val="r"/>
      <c:layout>
        <c:manualLayout>
          <c:xMode val="edge"/>
          <c:yMode val="edge"/>
          <c:x val="0.6989713473315835"/>
          <c:y val="0.36970909886264214"/>
          <c:w val="0.27705149266413642"/>
          <c:h val="0.401549032201790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.xlsx]Trend Analysis!PivotTable3</c:name>
    <c:fmtId val="9"/>
  </c:pivotSource>
  <c:chart>
    <c:title>
      <c:tx>
        <c:rich>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r>
              <a:rPr lang="en-US" b="1">
                <a:solidFill>
                  <a:srgbClr val="08D9D6"/>
                </a:solidFill>
                <a:latin typeface="Arial" panose="020B0604020202020204" pitchFamily="34" charset="0"/>
                <a:cs typeface="Arial" panose="020B0604020202020204" pitchFamily="34" charset="0"/>
              </a:rPr>
              <a:t>Digital</a:t>
            </a:r>
            <a:r>
              <a:rPr lang="en-US" b="1" baseline="0">
                <a:solidFill>
                  <a:srgbClr val="08D9D6"/>
                </a:solidFill>
                <a:latin typeface="Arial" panose="020B0604020202020204" pitchFamily="34" charset="0"/>
                <a:cs typeface="Arial" panose="020B0604020202020204" pitchFamily="34" charset="0"/>
              </a:rPr>
              <a:t> </a:t>
            </a:r>
            <a:r>
              <a:rPr lang="en-US" b="1">
                <a:solidFill>
                  <a:srgbClr val="08D9D6"/>
                </a:solidFill>
                <a:latin typeface="Arial" panose="020B0604020202020204" pitchFamily="34" charset="0"/>
                <a:cs typeface="Arial" panose="020B0604020202020204" pitchFamily="34" charset="0"/>
              </a:rPr>
              <a:t>Payments</a:t>
            </a:r>
            <a:r>
              <a:rPr lang="en-US" b="1" baseline="0">
                <a:solidFill>
                  <a:srgbClr val="08D9D6"/>
                </a:solidFill>
                <a:latin typeface="Arial" panose="020B0604020202020204" pitchFamily="34" charset="0"/>
                <a:cs typeface="Arial" panose="020B0604020202020204" pitchFamily="34" charset="0"/>
              </a:rPr>
              <a:t>Trend Over Time</a:t>
            </a:r>
            <a:endParaRPr lang="en-US" b="1">
              <a:solidFill>
                <a:srgbClr val="08D9D6"/>
              </a:solidFill>
              <a:latin typeface="Arial" panose="020B0604020202020204" pitchFamily="34" charset="0"/>
              <a:cs typeface="Arial" panose="020B0604020202020204" pitchFamily="34" charset="0"/>
            </a:endParaRPr>
          </a:p>
        </c:rich>
      </c:tx>
      <c:layout>
        <c:manualLayout>
          <c:xMode val="edge"/>
          <c:yMode val="edge"/>
          <c:x val="0.18591173699441416"/>
          <c:y val="4.332107389397642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noFill/>
            <a:ln w="508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noFill/>
            <a:ln w="508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noFill/>
            <a:ln w="508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cap="rnd">
            <a:solidFill>
              <a:srgbClr val="FF2E63"/>
            </a:solidFill>
            <a:round/>
          </a:ln>
          <a:effectLst/>
        </c:spPr>
        <c:marker>
          <c:symbol val="circle"/>
          <c:size val="5"/>
          <c:spPr>
            <a:solidFill>
              <a:schemeClr val="accent1"/>
            </a:solid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Analysis'!$B$47:$B$48</c:f>
              <c:strCache>
                <c:ptCount val="1"/>
                <c:pt idx="0">
                  <c:v>Egypt, Arab Rep</c:v>
                </c:pt>
              </c:strCache>
            </c:strRef>
          </c:tx>
          <c:spPr>
            <a:ln w="28575" cap="rnd">
              <a:solidFill>
                <a:srgbClr val="FF2E63"/>
              </a:solidFill>
              <a:round/>
            </a:ln>
            <a:effectLst/>
          </c:spPr>
          <c:marker>
            <c:symbol val="circle"/>
            <c:size val="5"/>
            <c:spPr>
              <a:noFill/>
              <a:ln w="50800">
                <a:solidFill>
                  <a:srgbClr val="FF2E63"/>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Analysis'!$B$49:$B$58</c:f>
              <c:numCache>
                <c:formatCode>General</c:formatCode>
                <c:ptCount val="10"/>
                <c:pt idx="2">
                  <c:v>1.6683175337813053E-2</c:v>
                </c:pt>
                <c:pt idx="6">
                  <c:v>1.6183336258612589E-2</c:v>
                </c:pt>
                <c:pt idx="9">
                  <c:v>0.30114029023832745</c:v>
                </c:pt>
              </c:numCache>
            </c:numRef>
          </c:val>
          <c:smooth val="0"/>
          <c:extLst>
            <c:ext xmlns:c16="http://schemas.microsoft.com/office/drawing/2014/chart" uri="{C3380CC4-5D6E-409C-BE32-E72D297353CC}">
              <c16:uniqueId val="{00000000-E0BE-401B-A66B-53E4FB70E84F}"/>
            </c:ext>
          </c:extLst>
        </c:ser>
        <c:ser>
          <c:idx val="1"/>
          <c:order val="1"/>
          <c:tx>
            <c:strRef>
              <c:f>'Trend Analysis'!$C$47:$C$48</c:f>
              <c:strCache>
                <c:ptCount val="1"/>
                <c:pt idx="0">
                  <c:v>India</c:v>
                </c:pt>
              </c:strCache>
            </c:strRef>
          </c:tx>
          <c:spPr>
            <a:ln w="28575" cap="rnd">
              <a:solidFill>
                <a:srgbClr val="08D9D6"/>
              </a:solidFill>
              <a:round/>
            </a:ln>
            <a:effectLst/>
          </c:spPr>
          <c:marker>
            <c:symbol val="circle"/>
            <c:size val="5"/>
            <c:spPr>
              <a:noFill/>
              <a:ln w="50800">
                <a:solidFill>
                  <a:srgbClr val="08D9D6"/>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Analysis'!$C$49:$C$58</c:f>
              <c:numCache>
                <c:formatCode>General</c:formatCode>
                <c:ptCount val="10"/>
                <c:pt idx="2">
                  <c:v>3.9786186144369205E-2</c:v>
                </c:pt>
                <c:pt idx="6">
                  <c:v>0.17220947435042966</c:v>
                </c:pt>
                <c:pt idx="9">
                  <c:v>0.48589012585927788</c:v>
                </c:pt>
              </c:numCache>
            </c:numRef>
          </c:val>
          <c:smooth val="0"/>
          <c:extLst>
            <c:ext xmlns:c16="http://schemas.microsoft.com/office/drawing/2014/chart" uri="{C3380CC4-5D6E-409C-BE32-E72D297353CC}">
              <c16:uniqueId val="{00000000-6158-482E-85DA-AE9DAD887275}"/>
            </c:ext>
          </c:extLst>
        </c:ser>
        <c:ser>
          <c:idx val="2"/>
          <c:order val="2"/>
          <c:tx>
            <c:strRef>
              <c:f>'Trend Analysis'!$D$47:$D$48</c:f>
              <c:strCache>
                <c:ptCount val="1"/>
                <c:pt idx="0">
                  <c:v>Saudi Arabia</c:v>
                </c:pt>
              </c:strCache>
            </c:strRef>
          </c:tx>
          <c:spPr>
            <a:ln w="28575" cap="rnd">
              <a:solidFill>
                <a:schemeClr val="accent3"/>
              </a:solidFill>
              <a:round/>
            </a:ln>
            <a:effectLst/>
          </c:spPr>
          <c:marker>
            <c:symbol val="circle"/>
            <c:size val="5"/>
            <c:spPr>
              <a:noFill/>
              <a:ln w="50800">
                <a:solidFill>
                  <a:srgbClr val="EAEAEA"/>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Analysis'!$D$49:$D$58</c:f>
              <c:numCache>
                <c:formatCode>General</c:formatCode>
                <c:ptCount val="10"/>
                <c:pt idx="2">
                  <c:v>0.41498030331004354</c:v>
                </c:pt>
                <c:pt idx="6">
                  <c:v>0.75041190041764538</c:v>
                </c:pt>
                <c:pt idx="9">
                  <c:v>0.85156351097590477</c:v>
                </c:pt>
              </c:numCache>
            </c:numRef>
          </c:val>
          <c:smooth val="0"/>
          <c:extLst>
            <c:ext xmlns:c16="http://schemas.microsoft.com/office/drawing/2014/chart" uri="{C3380CC4-5D6E-409C-BE32-E72D297353CC}">
              <c16:uniqueId val="{00000001-6158-482E-85DA-AE9DAD887275}"/>
            </c:ext>
          </c:extLst>
        </c:ser>
        <c:ser>
          <c:idx val="3"/>
          <c:order val="3"/>
          <c:tx>
            <c:strRef>
              <c:f>'Trend Analysis'!$E$47:$E$48</c:f>
              <c:strCache>
                <c:ptCount val="1"/>
                <c:pt idx="0">
                  <c:v>United Arab Emirates</c:v>
                </c:pt>
              </c:strCache>
            </c:strRef>
          </c:tx>
          <c:spPr>
            <a:ln w="28575" cap="rnd">
              <a:solidFill>
                <a:srgbClr val="FF2E63"/>
              </a:solidFill>
              <a:round/>
            </a:ln>
            <a:effectLst/>
          </c:spPr>
          <c:marker>
            <c:symbol val="circle"/>
            <c:size val="5"/>
            <c:spPr>
              <a:noFill/>
              <a:ln w="50800">
                <a:solidFill>
                  <a:srgbClr val="FF2E63"/>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Analysis'!$E$49:$E$58</c:f>
              <c:numCache>
                <c:formatCode>General</c:formatCode>
                <c:ptCount val="10"/>
                <c:pt idx="2">
                  <c:v>0.67466197065130418</c:v>
                </c:pt>
                <c:pt idx="6">
                  <c:v>0.45407506976999107</c:v>
                </c:pt>
              </c:numCache>
            </c:numRef>
          </c:val>
          <c:smooth val="0"/>
          <c:extLst>
            <c:ext xmlns:c16="http://schemas.microsoft.com/office/drawing/2014/chart" uri="{C3380CC4-5D6E-409C-BE32-E72D297353CC}">
              <c16:uniqueId val="{00000002-6158-482E-85DA-AE9DAD887275}"/>
            </c:ext>
          </c:extLst>
        </c:ser>
        <c:ser>
          <c:idx val="4"/>
          <c:order val="4"/>
          <c:tx>
            <c:strRef>
              <c:f>'Trend Analysis'!$F$47:$F$48</c:f>
              <c:strCache>
                <c:ptCount val="1"/>
                <c:pt idx="0">
                  <c:v>United Kingdom</c:v>
                </c:pt>
              </c:strCache>
            </c:strRef>
          </c:tx>
          <c:spPr>
            <a:ln w="28575" cap="rnd">
              <a:solidFill>
                <a:srgbClr val="08D9D6"/>
              </a:solidFill>
              <a:round/>
            </a:ln>
            <a:effectLst/>
          </c:spPr>
          <c:marker>
            <c:symbol val="circle"/>
            <c:size val="5"/>
            <c:spPr>
              <a:noFill/>
              <a:ln w="50800">
                <a:solidFill>
                  <a:srgbClr val="08D9D6"/>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Analysis'!$F$49:$F$58</c:f>
              <c:numCache>
                <c:formatCode>General</c:formatCode>
                <c:ptCount val="10"/>
                <c:pt idx="2">
                  <c:v>0.65162195007282275</c:v>
                </c:pt>
                <c:pt idx="6">
                  <c:v>0.61909371686719228</c:v>
                </c:pt>
              </c:numCache>
            </c:numRef>
          </c:val>
          <c:smooth val="0"/>
          <c:extLst>
            <c:ext xmlns:c16="http://schemas.microsoft.com/office/drawing/2014/chart" uri="{C3380CC4-5D6E-409C-BE32-E72D297353CC}">
              <c16:uniqueId val="{00000003-6158-482E-85DA-AE9DAD887275}"/>
            </c:ext>
          </c:extLst>
        </c:ser>
        <c:dLbls>
          <c:showLegendKey val="0"/>
          <c:showVal val="0"/>
          <c:showCatName val="0"/>
          <c:showSerName val="0"/>
          <c:showPercent val="0"/>
          <c:showBubbleSize val="0"/>
        </c:dLbls>
        <c:marker val="1"/>
        <c:smooth val="0"/>
        <c:axId val="415203327"/>
        <c:axId val="415210047"/>
      </c:lineChart>
      <c:catAx>
        <c:axId val="415203327"/>
        <c:scaling>
          <c:orientation val="minMax"/>
        </c:scaling>
        <c:delete val="0"/>
        <c:axPos val="b"/>
        <c:numFmt formatCode="General" sourceLinked="1"/>
        <c:majorTickMark val="none"/>
        <c:minorTickMark val="out"/>
        <c:tickLblPos val="nextTo"/>
        <c:spPr>
          <a:noFill/>
          <a:ln w="9525" cap="flat" cmpd="sng" algn="ctr">
            <a:solidFill>
              <a:srgbClr val="FF2E63"/>
            </a:solidFill>
            <a:round/>
          </a:ln>
          <a:effectLst/>
        </c:spPr>
        <c:txPr>
          <a:bodyPr rot="-5400000" spcFirstLastPara="1" vertOverflow="ellipsis"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15210047"/>
        <c:crosses val="autoZero"/>
        <c:auto val="1"/>
        <c:lblAlgn val="ctr"/>
        <c:lblOffset val="100"/>
        <c:noMultiLvlLbl val="0"/>
      </c:catAx>
      <c:valAx>
        <c:axId val="415210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08D9D6"/>
                    </a:solidFill>
                  </a:rPr>
                  <a:t>Avg_Digital_Payments_Index</a:t>
                </a:r>
              </a:p>
            </c:rich>
          </c:tx>
          <c:layout>
            <c:manualLayout>
              <c:xMode val="edge"/>
              <c:yMode val="edge"/>
              <c:x val="9.9058940069341253E-3"/>
              <c:y val="0.196790228144558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15203327"/>
        <c:crosses val="autoZero"/>
        <c:crossBetween val="between"/>
      </c:valAx>
      <c:spPr>
        <a:noFill/>
        <a:ln>
          <a:noFill/>
        </a:ln>
        <a:effectLst/>
      </c:spPr>
    </c:plotArea>
    <c:legend>
      <c:legendPos val="r"/>
      <c:layout>
        <c:manualLayout>
          <c:xMode val="edge"/>
          <c:yMode val="edge"/>
          <c:x val="0.69480468066491696"/>
          <c:y val="0.32218722659667537"/>
          <c:w val="0.28610815364275605"/>
          <c:h val="0.4089622451039773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.xlsx]Trend Analysis!PivotTable4</c:name>
    <c:fmtId val="10"/>
  </c:pivotSource>
  <c:chart>
    <c:title>
      <c:tx>
        <c:rich>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r>
              <a:rPr lang="en-US" b="1">
                <a:solidFill>
                  <a:srgbClr val="08D9D6"/>
                </a:solidFill>
                <a:latin typeface="Arial" panose="020B0604020202020204" pitchFamily="34" charset="0"/>
                <a:cs typeface="Arial" panose="020B0604020202020204" pitchFamily="34" charset="0"/>
              </a:rPr>
              <a:t>Financial Inclusion Trend Over Time</a:t>
            </a:r>
          </a:p>
        </c:rich>
      </c:tx>
      <c:layout>
        <c:manualLayout>
          <c:xMode val="edge"/>
          <c:yMode val="edge"/>
          <c:x val="0.17624047922687225"/>
          <c:y val="4.92383545514754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noFill/>
            <a:ln w="508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noFill/>
            <a:ln w="508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noFill/>
            <a:ln w="50800">
              <a:solidFill>
                <a:srgbClr val="EAEAE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8D9D6"/>
            </a:solidFill>
            <a:round/>
          </a:ln>
          <a:effectLst/>
        </c:spPr>
        <c:marker>
          <c:symbol val="circle"/>
          <c:size val="5"/>
          <c:spPr>
            <a:noFill/>
            <a:ln w="50800">
              <a:solidFill>
                <a:srgbClr val="08D9D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2E63"/>
            </a:solidFill>
            <a:round/>
          </a:ln>
          <a:effectLst/>
        </c:spPr>
        <c:marker>
          <c:symbol val="circle"/>
          <c:size val="5"/>
          <c:spPr>
            <a:solidFill>
              <a:schemeClr val="accent1"/>
            </a:solid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Analysis'!$B$68:$B$69</c:f>
              <c:strCache>
                <c:ptCount val="1"/>
                <c:pt idx="0">
                  <c:v>Egypt, Arab Rep</c:v>
                </c:pt>
              </c:strCache>
            </c:strRef>
          </c:tx>
          <c:spPr>
            <a:ln w="28575" cap="rnd">
              <a:solidFill>
                <a:srgbClr val="FF2E63"/>
              </a:solidFill>
              <a:round/>
            </a:ln>
            <a:effectLst/>
          </c:spPr>
          <c:marker>
            <c:symbol val="circle"/>
            <c:size val="5"/>
            <c:spPr>
              <a:noFill/>
              <a:ln w="50800">
                <a:solidFill>
                  <a:srgbClr val="FF2E63"/>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Analysis'!$B$70:$B$79</c:f>
              <c:numCache>
                <c:formatCode>General</c:formatCode>
                <c:ptCount val="10"/>
                <c:pt idx="2">
                  <c:v>5.4432523000447652E-2</c:v>
                </c:pt>
                <c:pt idx="6">
                  <c:v>0</c:v>
                </c:pt>
                <c:pt idx="9">
                  <c:v>0.13578433676959406</c:v>
                </c:pt>
              </c:numCache>
            </c:numRef>
          </c:val>
          <c:smooth val="0"/>
          <c:extLst>
            <c:ext xmlns:c16="http://schemas.microsoft.com/office/drawing/2014/chart" uri="{C3380CC4-5D6E-409C-BE32-E72D297353CC}">
              <c16:uniqueId val="{00000000-A1A8-4D19-9B8A-EE5399710524}"/>
            </c:ext>
          </c:extLst>
        </c:ser>
        <c:ser>
          <c:idx val="1"/>
          <c:order val="1"/>
          <c:tx>
            <c:strRef>
              <c:f>'Trend Analysis'!$C$68:$C$69</c:f>
              <c:strCache>
                <c:ptCount val="1"/>
                <c:pt idx="0">
                  <c:v>India</c:v>
                </c:pt>
              </c:strCache>
            </c:strRef>
          </c:tx>
          <c:spPr>
            <a:ln w="28575" cap="rnd">
              <a:solidFill>
                <a:srgbClr val="08D9D6"/>
              </a:solidFill>
              <a:round/>
            </a:ln>
            <a:effectLst/>
          </c:spPr>
          <c:marker>
            <c:symbol val="circle"/>
            <c:size val="5"/>
            <c:spPr>
              <a:noFill/>
              <a:ln w="50800">
                <a:solidFill>
                  <a:srgbClr val="08D9D6"/>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Analysis'!$C$70:$C$79</c:f>
              <c:numCache>
                <c:formatCode>General</c:formatCode>
                <c:ptCount val="10"/>
                <c:pt idx="2">
                  <c:v>0.43294951917008317</c:v>
                </c:pt>
                <c:pt idx="6">
                  <c:v>0.40404786938706871</c:v>
                </c:pt>
                <c:pt idx="9">
                  <c:v>0.54148203556132302</c:v>
                </c:pt>
              </c:numCache>
            </c:numRef>
          </c:val>
          <c:smooth val="0"/>
          <c:extLst>
            <c:ext xmlns:c16="http://schemas.microsoft.com/office/drawing/2014/chart" uri="{C3380CC4-5D6E-409C-BE32-E72D297353CC}">
              <c16:uniqueId val="{00000000-AD88-49DE-A2B8-7154A3D149B7}"/>
            </c:ext>
          </c:extLst>
        </c:ser>
        <c:ser>
          <c:idx val="2"/>
          <c:order val="2"/>
          <c:tx>
            <c:strRef>
              <c:f>'Trend Analysis'!$D$68:$D$69</c:f>
              <c:strCache>
                <c:ptCount val="1"/>
                <c:pt idx="0">
                  <c:v>Saudi Arabia</c:v>
                </c:pt>
              </c:strCache>
            </c:strRef>
          </c:tx>
          <c:spPr>
            <a:ln w="28575" cap="rnd">
              <a:solidFill>
                <a:schemeClr val="accent3"/>
              </a:solidFill>
              <a:round/>
            </a:ln>
            <a:effectLst/>
          </c:spPr>
          <c:marker>
            <c:symbol val="circle"/>
            <c:size val="5"/>
            <c:spPr>
              <a:noFill/>
              <a:ln w="50800">
                <a:solidFill>
                  <a:srgbClr val="EAEAEA"/>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Analysis'!$D$70:$D$79</c:f>
              <c:numCache>
                <c:formatCode>General</c:formatCode>
                <c:ptCount val="10"/>
                <c:pt idx="2">
                  <c:v>0.41077560303477711</c:v>
                </c:pt>
                <c:pt idx="6">
                  <c:v>0.56615914602037831</c:v>
                </c:pt>
                <c:pt idx="9">
                  <c:v>0.59540687184492658</c:v>
                </c:pt>
              </c:numCache>
            </c:numRef>
          </c:val>
          <c:smooth val="0"/>
          <c:extLst>
            <c:ext xmlns:c16="http://schemas.microsoft.com/office/drawing/2014/chart" uri="{C3380CC4-5D6E-409C-BE32-E72D297353CC}">
              <c16:uniqueId val="{00000001-AD88-49DE-A2B8-7154A3D149B7}"/>
            </c:ext>
          </c:extLst>
        </c:ser>
        <c:ser>
          <c:idx val="3"/>
          <c:order val="3"/>
          <c:tx>
            <c:strRef>
              <c:f>'Trend Analysis'!$E$68:$E$69</c:f>
              <c:strCache>
                <c:ptCount val="1"/>
                <c:pt idx="0">
                  <c:v>United Arab Emirates</c:v>
                </c:pt>
              </c:strCache>
            </c:strRef>
          </c:tx>
          <c:spPr>
            <a:ln w="28575" cap="rnd">
              <a:solidFill>
                <a:srgbClr val="FF2E63"/>
              </a:solidFill>
              <a:round/>
            </a:ln>
            <a:effectLst/>
          </c:spPr>
          <c:marker>
            <c:symbol val="circle"/>
            <c:size val="5"/>
            <c:spPr>
              <a:noFill/>
              <a:ln w="50800">
                <a:solidFill>
                  <a:srgbClr val="FF2E63"/>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Analysis'!$E$70:$E$79</c:f>
              <c:numCache>
                <c:formatCode>General</c:formatCode>
                <c:ptCount val="10"/>
                <c:pt idx="2">
                  <c:v>0.69352778827828487</c:v>
                </c:pt>
                <c:pt idx="6">
                  <c:v>0.49719935781684887</c:v>
                </c:pt>
              </c:numCache>
            </c:numRef>
          </c:val>
          <c:smooth val="0"/>
          <c:extLst>
            <c:ext xmlns:c16="http://schemas.microsoft.com/office/drawing/2014/chart" uri="{C3380CC4-5D6E-409C-BE32-E72D297353CC}">
              <c16:uniqueId val="{00000002-AD88-49DE-A2B8-7154A3D149B7}"/>
            </c:ext>
          </c:extLst>
        </c:ser>
        <c:ser>
          <c:idx val="4"/>
          <c:order val="4"/>
          <c:tx>
            <c:strRef>
              <c:f>'Trend Analysis'!$F$68:$F$69</c:f>
              <c:strCache>
                <c:ptCount val="1"/>
                <c:pt idx="0">
                  <c:v>United Kingdom</c:v>
                </c:pt>
              </c:strCache>
            </c:strRef>
          </c:tx>
          <c:spPr>
            <a:ln w="28575" cap="rnd">
              <a:solidFill>
                <a:srgbClr val="08D9D6"/>
              </a:solidFill>
              <a:round/>
            </a:ln>
            <a:effectLst/>
          </c:spPr>
          <c:marker>
            <c:symbol val="circle"/>
            <c:size val="5"/>
            <c:spPr>
              <a:noFill/>
              <a:ln w="50800">
                <a:solidFill>
                  <a:srgbClr val="08D9D6"/>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Analysis'!$F$70:$F$79</c:f>
              <c:numCache>
                <c:formatCode>General</c:formatCode>
                <c:ptCount val="10"/>
                <c:pt idx="2">
                  <c:v>0.97651417755760028</c:v>
                </c:pt>
                <c:pt idx="6">
                  <c:v>0.94625136420796618</c:v>
                </c:pt>
              </c:numCache>
            </c:numRef>
          </c:val>
          <c:smooth val="0"/>
          <c:extLst>
            <c:ext xmlns:c16="http://schemas.microsoft.com/office/drawing/2014/chart" uri="{C3380CC4-5D6E-409C-BE32-E72D297353CC}">
              <c16:uniqueId val="{00000003-AD88-49DE-A2B8-7154A3D149B7}"/>
            </c:ext>
          </c:extLst>
        </c:ser>
        <c:dLbls>
          <c:showLegendKey val="0"/>
          <c:showVal val="0"/>
          <c:showCatName val="0"/>
          <c:showSerName val="0"/>
          <c:showPercent val="0"/>
          <c:showBubbleSize val="0"/>
        </c:dLbls>
        <c:marker val="1"/>
        <c:smooth val="0"/>
        <c:axId val="449897599"/>
        <c:axId val="449893279"/>
      </c:lineChart>
      <c:catAx>
        <c:axId val="449897599"/>
        <c:scaling>
          <c:orientation val="minMax"/>
        </c:scaling>
        <c:delete val="0"/>
        <c:axPos val="b"/>
        <c:numFmt formatCode="General" sourceLinked="1"/>
        <c:majorTickMark val="none"/>
        <c:minorTickMark val="out"/>
        <c:tickLblPos val="nextTo"/>
        <c:spPr>
          <a:noFill/>
          <a:ln w="9525" cap="flat" cmpd="sng" algn="ctr">
            <a:solidFill>
              <a:srgbClr val="FF2E63"/>
            </a:solidFill>
            <a:round/>
          </a:ln>
          <a:effectLst/>
        </c:spPr>
        <c:txPr>
          <a:bodyPr rot="-5400000" spcFirstLastPara="1" vertOverflow="ellipsis"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49893279"/>
        <c:crosses val="autoZero"/>
        <c:auto val="1"/>
        <c:lblAlgn val="ctr"/>
        <c:lblOffset val="100"/>
        <c:noMultiLvlLbl val="0"/>
      </c:catAx>
      <c:valAx>
        <c:axId val="449893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08D9D6"/>
                    </a:solidFill>
                  </a:rPr>
                  <a:t>Avg_FI_Index</a:t>
                </a:r>
              </a:p>
            </c:rich>
          </c:tx>
          <c:layout>
            <c:manualLayout>
              <c:xMode val="edge"/>
              <c:yMode val="edge"/>
              <c:x val="1.1973180076628353E-2"/>
              <c:y val="0.308162649147384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49897599"/>
        <c:crosses val="autoZero"/>
        <c:crossBetween val="between"/>
      </c:valAx>
      <c:spPr>
        <a:noFill/>
        <a:ln>
          <a:noFill/>
        </a:ln>
        <a:effectLst/>
      </c:spPr>
    </c:plotArea>
    <c:legend>
      <c:legendPos val="r"/>
      <c:layout>
        <c:manualLayout>
          <c:xMode val="edge"/>
          <c:yMode val="edge"/>
          <c:x val="0.6989713473315835"/>
          <c:y val="0.36507946923301254"/>
          <c:w val="0.27665343017467642"/>
          <c:h val="0.407707759689548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.xlsx]DT Components Analysis!PivotTable3</c:name>
    <c:fmtId val="16"/>
  </c:pivotSource>
  <c:chart>
    <c:title>
      <c:tx>
        <c:rich>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r>
              <a:rPr lang="en-US" b="1">
                <a:solidFill>
                  <a:srgbClr val="08D9D6"/>
                </a:solidFill>
                <a:latin typeface="Arial" panose="020B0604020202020204" pitchFamily="34" charset="0"/>
                <a:cs typeface="Arial" panose="020B0604020202020204" pitchFamily="34" charset="0"/>
              </a:rPr>
              <a:t>Overall Digital Transformation Ranking</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'DT Components Analysis'!$B$50</c:f>
              <c:strCache>
                <c:ptCount val="1"/>
                <c:pt idx="0">
                  <c:v>Total</c:v>
                </c:pt>
              </c:strCache>
            </c:strRef>
          </c:tx>
          <c:spPr>
            <a:solidFill>
              <a:srgbClr val="FF2E6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'DT Components Analysis'!$A$51:$A$55</c:f>
              <c:strCache>
                <c:ptCount val="5"/>
                <c:pt idx="0">
                  <c:v>United Arab Emirates</c:v>
                </c:pt>
                <c:pt idx="1">
                  <c:v>United Kingdom</c:v>
                </c:pt>
                <c:pt idx="2">
                  <c:v>Saudi Arabia</c:v>
                </c:pt>
                <c:pt idx="3">
                  <c:v>Egypt, Arab Rep</c:v>
                </c:pt>
                <c:pt idx="4">
                  <c:v>India</c:v>
                </c:pt>
              </c:strCache>
            </c:strRef>
          </c:cat>
          <c:val>
            <c:numRef>
              <c:f>'DT Components Analysis'!$B$51:$B$55</c:f>
              <c:numCache>
                <c:formatCode>General</c:formatCode>
                <c:ptCount val="5"/>
                <c:pt idx="0">
                  <c:v>0.76981899920854291</c:v>
                </c:pt>
                <c:pt idx="1">
                  <c:v>0.76031289837934291</c:v>
                </c:pt>
                <c:pt idx="2">
                  <c:v>0.656990709815788</c:v>
                </c:pt>
                <c:pt idx="3">
                  <c:v>0.38276634803443621</c:v>
                </c:pt>
                <c:pt idx="4">
                  <c:v>0.31797892428741809</c:v>
                </c:pt>
              </c:numCache>
            </c:numRef>
          </c:val>
          <c:extLst>
            <c:ext xmlns:c16="http://schemas.microsoft.com/office/drawing/2014/chart" uri="{C3380CC4-5D6E-409C-BE32-E72D297353CC}">
              <c16:uniqueId val="{00000000-F869-4F6B-ADBB-86ADA91996DF}"/>
            </c:ext>
          </c:extLst>
        </c:ser>
        <c:dLbls>
          <c:dLblPos val="outEnd"/>
          <c:showLegendKey val="0"/>
          <c:showVal val="1"/>
          <c:showCatName val="0"/>
          <c:showSerName val="0"/>
          <c:showPercent val="0"/>
          <c:showBubbleSize val="0"/>
        </c:dLbls>
        <c:gapWidth val="219"/>
        <c:overlap val="-27"/>
        <c:axId val="2128349263"/>
        <c:axId val="2128350223"/>
      </c:barChart>
      <c:catAx>
        <c:axId val="2128349263"/>
        <c:scaling>
          <c:orientation val="minMax"/>
        </c:scaling>
        <c:delete val="0"/>
        <c:axPos val="b"/>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2128350223"/>
        <c:crosses val="autoZero"/>
        <c:auto val="1"/>
        <c:lblAlgn val="ctr"/>
        <c:lblOffset val="100"/>
        <c:noMultiLvlLbl val="0"/>
      </c:catAx>
      <c:valAx>
        <c:axId val="2128350223"/>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EAEAEA"/>
                    </a:solidFill>
                    <a:latin typeface="+mn-lt"/>
                    <a:ea typeface="+mn-ea"/>
                    <a:cs typeface="+mn-cs"/>
                  </a:defRPr>
                </a:pPr>
                <a:r>
                  <a:rPr lang="en-US" sz="1000">
                    <a:solidFill>
                      <a:srgbClr val="08D9D6"/>
                    </a:solidFill>
                    <a:latin typeface="+mn-lt"/>
                    <a:cs typeface="Arial" panose="020B0604020202020204" pitchFamily="34" charset="0"/>
                  </a:rPr>
                  <a:t>Avg_Digital_Transformation_Index</a:t>
                </a:r>
              </a:p>
            </c:rich>
          </c:tx>
          <c:layout>
            <c:manualLayout>
              <c:xMode val="edge"/>
              <c:yMode val="edge"/>
              <c:x val="7.4404761904761901E-3"/>
              <c:y val="0.12357268414842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EAEAEA"/>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212834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.xlsx]DT Components Analysis!PivotTable1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solidFill>
                  <a:srgbClr val="08D9D6"/>
                </a:solidFill>
                <a:latin typeface="Arial" panose="020B0604020202020204" pitchFamily="34" charset="0"/>
                <a:cs typeface="Arial" panose="020B0604020202020204" pitchFamily="34" charset="0"/>
              </a:rPr>
              <a:t>E-Government Performance Across Countries</a:t>
            </a:r>
          </a:p>
        </c:rich>
      </c:tx>
      <c:layout>
        <c:manualLayout>
          <c:xMode val="edge"/>
          <c:yMode val="edge"/>
          <c:x val="0.15273029439696106"/>
          <c:y val="3.07517588407957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08D9D6"/>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2E6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2E6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'DT Components Analysis'!$B$3</c:f>
              <c:strCache>
                <c:ptCount val="1"/>
                <c:pt idx="0">
                  <c:v>Total</c:v>
                </c:pt>
              </c:strCache>
            </c:strRef>
          </c:tx>
          <c:spPr>
            <a:solidFill>
              <a:srgbClr val="FF2E6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'DT Components Analysis'!$A$4:$A$8</c:f>
              <c:strCache>
                <c:ptCount val="5"/>
                <c:pt idx="0">
                  <c:v>United Kingdom</c:v>
                </c:pt>
                <c:pt idx="1">
                  <c:v>United Arab Emirates</c:v>
                </c:pt>
                <c:pt idx="2">
                  <c:v>Saudi Arabia</c:v>
                </c:pt>
                <c:pt idx="3">
                  <c:v>India</c:v>
                </c:pt>
                <c:pt idx="4">
                  <c:v>Egypt, Arab Rep</c:v>
                </c:pt>
              </c:strCache>
            </c:strRef>
          </c:cat>
          <c:val>
            <c:numRef>
              <c:f>'DT Components Analysis'!$B$4:$B$8</c:f>
              <c:numCache>
                <c:formatCode>General</c:formatCode>
                <c:ptCount val="5"/>
                <c:pt idx="0">
                  <c:v>0.92529866666666682</c:v>
                </c:pt>
                <c:pt idx="1">
                  <c:v>0.85816066666666679</c:v>
                </c:pt>
                <c:pt idx="2">
                  <c:v>0.80146866666666661</c:v>
                </c:pt>
                <c:pt idx="3">
                  <c:v>0.57662533333333332</c:v>
                </c:pt>
                <c:pt idx="4">
                  <c:v>0.55190533333333336</c:v>
                </c:pt>
              </c:numCache>
            </c:numRef>
          </c:val>
          <c:extLst>
            <c:ext xmlns:c16="http://schemas.microsoft.com/office/drawing/2014/chart" uri="{C3380CC4-5D6E-409C-BE32-E72D297353CC}">
              <c16:uniqueId val="{00000000-432B-4223-B0C2-33BB880E82F6}"/>
            </c:ext>
          </c:extLst>
        </c:ser>
        <c:dLbls>
          <c:dLblPos val="outEnd"/>
          <c:showLegendKey val="0"/>
          <c:showVal val="1"/>
          <c:showCatName val="0"/>
          <c:showSerName val="0"/>
          <c:showPercent val="0"/>
          <c:showBubbleSize val="0"/>
        </c:dLbls>
        <c:gapWidth val="219"/>
        <c:overlap val="-27"/>
        <c:axId val="1195395263"/>
        <c:axId val="1195397663"/>
      </c:barChart>
      <c:catAx>
        <c:axId val="1195395263"/>
        <c:scaling>
          <c:orientation val="minMax"/>
        </c:scaling>
        <c:delete val="0"/>
        <c:axPos val="b"/>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195397663"/>
        <c:crosses val="autoZero"/>
        <c:auto val="1"/>
        <c:lblAlgn val="ctr"/>
        <c:lblOffset val="100"/>
        <c:noMultiLvlLbl val="0"/>
      </c:catAx>
      <c:valAx>
        <c:axId val="11953976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08D9D6"/>
                    </a:solidFill>
                    <a:latin typeface="+mn-lt"/>
                    <a:cs typeface="Arial" panose="020B0604020202020204" pitchFamily="34" charset="0"/>
                  </a:rPr>
                  <a:t>Avg_EGOV_Index</a:t>
                </a:r>
              </a:p>
            </c:rich>
          </c:tx>
          <c:layout>
            <c:manualLayout>
              <c:xMode val="edge"/>
              <c:yMode val="edge"/>
              <c:x val="1.1870845204178538E-2"/>
              <c:y val="0.294713601976223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19539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.xlsx]DT Components Analysis!PivotTable2</c:name>
    <c:fmtId val="6"/>
  </c:pivotSource>
  <c:chart>
    <c:title>
      <c:tx>
        <c:rich>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r>
              <a:rPr lang="en-US" b="1">
                <a:solidFill>
                  <a:srgbClr val="08D9D6"/>
                </a:solidFill>
                <a:latin typeface="Arial" panose="020B0604020202020204" pitchFamily="34" charset="0"/>
                <a:cs typeface="Arial" panose="020B0604020202020204" pitchFamily="34" charset="0"/>
              </a:rPr>
              <a:t>Internet Penetration Across Countries</a:t>
            </a:r>
          </a:p>
        </c:rich>
      </c:tx>
      <c:layout>
        <c:manualLayout>
          <c:xMode val="edge"/>
          <c:yMode val="edge"/>
          <c:x val="0.23224918713519019"/>
          <c:y val="3.26367561826032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2E6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AEAE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EAEA"/>
          </a:solidFill>
          <a:ln>
            <a:noFill/>
          </a:ln>
          <a:effectLst/>
        </c:spPr>
        <c:dLbl>
          <c:idx val="0"/>
          <c:layout>
            <c:manualLayout>
              <c:x val="8.3333333333333332E-3"/>
              <c:y val="1.851851851851851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9306336707911"/>
          <c:y val="0.24166666666666667"/>
          <c:w val="0.79183786237246656"/>
          <c:h val="0.56078594342373866"/>
        </c:manualLayout>
      </c:layout>
      <c:barChart>
        <c:barDir val="col"/>
        <c:grouping val="clustered"/>
        <c:varyColors val="0"/>
        <c:ser>
          <c:idx val="0"/>
          <c:order val="0"/>
          <c:tx>
            <c:strRef>
              <c:f>'DT Components Analysis'!$B$29</c:f>
              <c:strCache>
                <c:ptCount val="1"/>
                <c:pt idx="0">
                  <c:v>Total</c:v>
                </c:pt>
              </c:strCache>
            </c:strRef>
          </c:tx>
          <c:spPr>
            <a:solidFill>
              <a:srgbClr val="FF2E6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'DT Components Analysis'!$A$30:$A$34</c:f>
              <c:strCache>
                <c:ptCount val="5"/>
                <c:pt idx="0">
                  <c:v>United Arab Emirates</c:v>
                </c:pt>
                <c:pt idx="1">
                  <c:v>United Kingdom</c:v>
                </c:pt>
                <c:pt idx="2">
                  <c:v>Saudi Arabia</c:v>
                </c:pt>
                <c:pt idx="3">
                  <c:v>Egypt, Arab Rep</c:v>
                </c:pt>
                <c:pt idx="4">
                  <c:v>India</c:v>
                </c:pt>
              </c:strCache>
            </c:strRef>
          </c:cat>
          <c:val>
            <c:numRef>
              <c:f>'DT Components Analysis'!$B$30:$B$34</c:f>
              <c:numCache>
                <c:formatCode>General</c:formatCode>
                <c:ptCount val="5"/>
                <c:pt idx="0">
                  <c:v>0.7811435803941732</c:v>
                </c:pt>
                <c:pt idx="1">
                  <c:v>0.71956197733965033</c:v>
                </c:pt>
                <c:pt idx="2">
                  <c:v>0.62023636726797782</c:v>
                </c:pt>
                <c:pt idx="3">
                  <c:v>0.39369679602195673</c:v>
                </c:pt>
                <c:pt idx="4">
                  <c:v>0.25607790052795187</c:v>
                </c:pt>
              </c:numCache>
            </c:numRef>
          </c:val>
          <c:extLst>
            <c:ext xmlns:c16="http://schemas.microsoft.com/office/drawing/2014/chart" uri="{C3380CC4-5D6E-409C-BE32-E72D297353CC}">
              <c16:uniqueId val="{00000000-27E4-4CBE-9ECD-C24232EF67AA}"/>
            </c:ext>
          </c:extLst>
        </c:ser>
        <c:dLbls>
          <c:dLblPos val="outEnd"/>
          <c:showLegendKey val="0"/>
          <c:showVal val="1"/>
          <c:showCatName val="0"/>
          <c:showSerName val="0"/>
          <c:showPercent val="0"/>
          <c:showBubbleSize val="0"/>
        </c:dLbls>
        <c:gapWidth val="219"/>
        <c:overlap val="-27"/>
        <c:axId val="2128318543"/>
        <c:axId val="2128319023"/>
      </c:barChart>
      <c:catAx>
        <c:axId val="2128318543"/>
        <c:scaling>
          <c:orientation val="minMax"/>
        </c:scaling>
        <c:delete val="0"/>
        <c:axPos val="b"/>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2128319023"/>
        <c:crosses val="autoZero"/>
        <c:auto val="1"/>
        <c:lblAlgn val="ctr"/>
        <c:lblOffset val="100"/>
        <c:noMultiLvlLbl val="0"/>
      </c:catAx>
      <c:valAx>
        <c:axId val="2128319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08D9D6"/>
                    </a:solidFill>
                  </a:rPr>
                  <a:t>Avg_Internet_Penetration_Index</a:t>
                </a:r>
              </a:p>
            </c:rich>
          </c:tx>
          <c:layout>
            <c:manualLayout>
              <c:xMode val="edge"/>
              <c:yMode val="edge"/>
              <c:x val="6.4461158773063817E-3"/>
              <c:y val="0.158577905034597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EAEAEA"/>
                </a:solidFill>
                <a:latin typeface="+mn-lt"/>
                <a:ea typeface="+mn-ea"/>
                <a:cs typeface="+mn-cs"/>
              </a:defRPr>
            </a:pPr>
            <a:endParaRPr lang="en-US"/>
          </a:p>
        </c:txPr>
        <c:crossAx val="212831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.xlsx]DT Components Analysis!PivotTable9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D9D6"/>
                </a:solidFill>
                <a:latin typeface="Arial" panose="020B0604020202020204" pitchFamily="34" charset="0"/>
                <a:cs typeface="Arial" panose="020B0604020202020204" pitchFamily="34" charset="0"/>
              </a:rPr>
              <a:t>Digital Payments</a:t>
            </a:r>
            <a:r>
              <a:rPr lang="en-US" b="1" baseline="0">
                <a:solidFill>
                  <a:srgbClr val="08D9D6"/>
                </a:solidFill>
                <a:latin typeface="Arial" panose="020B0604020202020204" pitchFamily="34" charset="0"/>
                <a:cs typeface="Arial" panose="020B0604020202020204" pitchFamily="34" charset="0"/>
              </a:rPr>
              <a:t> Adoption Across Countries</a:t>
            </a:r>
            <a:endParaRPr lang="en-US" b="1">
              <a:solidFill>
                <a:srgbClr val="08D9D6"/>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'DT Components Analysis'!$B$19</c:f>
              <c:strCache>
                <c:ptCount val="1"/>
                <c:pt idx="0">
                  <c:v>Total</c:v>
                </c:pt>
              </c:strCache>
            </c:strRef>
          </c:tx>
          <c:spPr>
            <a:solidFill>
              <a:srgbClr val="FF2E6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'DT Components Analysis'!$A$20:$A$24</c:f>
              <c:strCache>
                <c:ptCount val="5"/>
                <c:pt idx="0">
                  <c:v>Saudi Arabia</c:v>
                </c:pt>
                <c:pt idx="1">
                  <c:v>United Kingdom</c:v>
                </c:pt>
                <c:pt idx="2">
                  <c:v>United Arab Emirates</c:v>
                </c:pt>
                <c:pt idx="3">
                  <c:v>India</c:v>
                </c:pt>
                <c:pt idx="4">
                  <c:v>Egypt, Arab Rep</c:v>
                </c:pt>
              </c:strCache>
            </c:strRef>
          </c:cat>
          <c:val>
            <c:numRef>
              <c:f>'DT Components Analysis'!$B$20:$B$24</c:f>
              <c:numCache>
                <c:formatCode>General</c:formatCode>
                <c:ptCount val="5"/>
                <c:pt idx="0">
                  <c:v>0.67231857156786445</c:v>
                </c:pt>
                <c:pt idx="1">
                  <c:v>0.63535783347000752</c:v>
                </c:pt>
                <c:pt idx="2">
                  <c:v>0.56436852021064765</c:v>
                </c:pt>
                <c:pt idx="3">
                  <c:v>0.23262859545135892</c:v>
                </c:pt>
                <c:pt idx="4">
                  <c:v>0.11133560061158436</c:v>
                </c:pt>
              </c:numCache>
            </c:numRef>
          </c:val>
          <c:extLst>
            <c:ext xmlns:c16="http://schemas.microsoft.com/office/drawing/2014/chart" uri="{C3380CC4-5D6E-409C-BE32-E72D297353CC}">
              <c16:uniqueId val="{00000000-9C50-4950-82C3-976B818C00B1}"/>
            </c:ext>
          </c:extLst>
        </c:ser>
        <c:dLbls>
          <c:showLegendKey val="0"/>
          <c:showVal val="0"/>
          <c:showCatName val="0"/>
          <c:showSerName val="0"/>
          <c:showPercent val="0"/>
          <c:showBubbleSize val="0"/>
        </c:dLbls>
        <c:gapWidth val="219"/>
        <c:overlap val="-27"/>
        <c:axId val="1798167152"/>
        <c:axId val="1798176752"/>
      </c:barChart>
      <c:catAx>
        <c:axId val="1798167152"/>
        <c:scaling>
          <c:orientation val="minMax"/>
        </c:scaling>
        <c:delete val="0"/>
        <c:axPos val="b"/>
        <c:numFmt formatCode="General" sourceLinked="1"/>
        <c:majorTickMark val="none"/>
        <c:minorTickMark val="out"/>
        <c:tickLblPos val="nextTo"/>
        <c:spPr>
          <a:noFill/>
          <a:ln w="9525" cap="flat" cmpd="sng" algn="ctr">
            <a:solidFill>
              <a:srgbClr val="EAEAEA"/>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98176752"/>
        <c:crosses val="autoZero"/>
        <c:auto val="1"/>
        <c:lblAlgn val="ctr"/>
        <c:lblOffset val="100"/>
        <c:noMultiLvlLbl val="0"/>
      </c:catAx>
      <c:valAx>
        <c:axId val="1798176752"/>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EAEAEA"/>
                    </a:solidFill>
                    <a:latin typeface="+mn-lt"/>
                    <a:ea typeface="+mn-ea"/>
                    <a:cs typeface="+mn-cs"/>
                  </a:defRPr>
                </a:pPr>
                <a:r>
                  <a:rPr lang="en-US">
                    <a:solidFill>
                      <a:srgbClr val="08D9D6"/>
                    </a:solidFill>
                    <a:latin typeface="+mn-lt"/>
                    <a:cs typeface="Arial" panose="020B0604020202020204" pitchFamily="34" charset="0"/>
                  </a:rPr>
                  <a:t>Avg_Digital_Payments_Index</a:t>
                </a:r>
              </a:p>
            </c:rich>
          </c:tx>
          <c:layout>
            <c:manualLayout>
              <c:xMode val="edge"/>
              <c:yMode val="edge"/>
              <c:x val="1.1837121212121212E-2"/>
              <c:y val="0.170486977589339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EAEAEA"/>
                  </a:solidFill>
                  <a:latin typeface="+mn-lt"/>
                  <a:ea typeface="+mn-ea"/>
                  <a:cs typeface="+mn-cs"/>
                </a:defRPr>
              </a:pPr>
              <a:endParaRPr lang="en-US"/>
            </a:p>
          </c:txPr>
        </c:title>
        <c:numFmt formatCode="General" sourceLinked="1"/>
        <c:majorTickMark val="out"/>
        <c:minorTickMark val="none"/>
        <c:tickLblPos val="nextTo"/>
        <c:spPr>
          <a:noFill/>
          <a:ln>
            <a:solidFill>
              <a:srgbClr val="EAEAEA"/>
            </a:solidFill>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9816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08D9D6"/>
                </a:solidFill>
                <a:latin typeface="Arial" panose="020B0604020202020204" pitchFamily="34" charset="0"/>
                <a:cs typeface="Arial" panose="020B0604020202020204" pitchFamily="34" charset="0"/>
              </a:rPr>
              <a:t>Digital Transformation Vs Financial Inclusion</a:t>
            </a:r>
          </a:p>
        </c:rich>
      </c:tx>
      <c:layout>
        <c:manualLayout>
          <c:xMode val="edge"/>
          <c:yMode val="edge"/>
          <c:x val="0.12651974762469148"/>
          <c:y val="3.663433375175929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noFill/>
              <a:ln w="50800">
                <a:solidFill>
                  <a:srgbClr val="FF2E63"/>
                </a:solidFill>
              </a:ln>
              <a:effectLst/>
            </c:spPr>
          </c:marker>
          <c:trendline>
            <c:spPr>
              <a:ln w="25400" cap="rnd">
                <a:solidFill>
                  <a:srgbClr val="08D9D6"/>
                </a:solidFill>
                <a:prstDash val="sysDot"/>
              </a:ln>
              <a:effectLst/>
            </c:spPr>
            <c:trendlineType val="linear"/>
            <c:dispRSqr val="1"/>
            <c:dispEq val="1"/>
            <c:trendlineLbl>
              <c:layout>
                <c:manualLayout>
                  <c:x val="0.12715323235198009"/>
                  <c:y val="0.22730333949413881"/>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trendlineLbl>
          </c:trendline>
          <c:xVal>
            <c:numRef>
              <c:f>'Impact Analysis'!$B$40:$B$44</c:f>
              <c:numCache>
                <c:formatCode>General</c:formatCode>
                <c:ptCount val="5"/>
                <c:pt idx="0">
                  <c:v>0.77908653294220587</c:v>
                </c:pt>
                <c:pt idx="1">
                  <c:v>0.7634200333900012</c:v>
                </c:pt>
                <c:pt idx="2">
                  <c:v>0.64331313504884891</c:v>
                </c:pt>
                <c:pt idx="3">
                  <c:v>0.33673315226533856</c:v>
                </c:pt>
                <c:pt idx="4">
                  <c:v>0.32720017067917362</c:v>
                </c:pt>
              </c:numCache>
            </c:numRef>
          </c:xVal>
          <c:yVal>
            <c:numRef>
              <c:f>'Impact Analysis'!$C$40:$C$44</c:f>
              <c:numCache>
                <c:formatCode>General</c:formatCode>
                <c:ptCount val="5"/>
                <c:pt idx="0">
                  <c:v>0.96138277088278323</c:v>
                </c:pt>
                <c:pt idx="1">
                  <c:v>0.59536357304756682</c:v>
                </c:pt>
                <c:pt idx="2">
                  <c:v>0.52411387363336071</c:v>
                </c:pt>
                <c:pt idx="3">
                  <c:v>0.45949314137282499</c:v>
                </c:pt>
                <c:pt idx="4">
                  <c:v>4.8929876554097876E-2</c:v>
                </c:pt>
              </c:numCache>
            </c:numRef>
          </c:yVal>
          <c:smooth val="0"/>
          <c:extLst>
            <c:ext xmlns:c16="http://schemas.microsoft.com/office/drawing/2014/chart" uri="{C3380CC4-5D6E-409C-BE32-E72D297353CC}">
              <c16:uniqueId val="{00000001-4ECE-45B5-AC46-B30915C25528}"/>
            </c:ext>
          </c:extLst>
        </c:ser>
        <c:dLbls>
          <c:showLegendKey val="0"/>
          <c:showVal val="0"/>
          <c:showCatName val="0"/>
          <c:showSerName val="0"/>
          <c:showPercent val="0"/>
          <c:showBubbleSize val="0"/>
        </c:dLbls>
        <c:axId val="180375007"/>
        <c:axId val="180378367"/>
      </c:scatterChart>
      <c:valAx>
        <c:axId val="18037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solidFill>
                      <a:srgbClr val="EAEAEA"/>
                    </a:solidFill>
                    <a:latin typeface="Arial" panose="020B0604020202020204" pitchFamily="34" charset="0"/>
                    <a:cs typeface="Arial" panose="020B0604020202020204" pitchFamily="34" charset="0"/>
                  </a:rPr>
                  <a:t>Digital Transformation</a:t>
                </a:r>
              </a:p>
            </c:rich>
          </c:tx>
          <c:layout>
            <c:manualLayout>
              <c:xMode val="edge"/>
              <c:yMode val="edge"/>
              <c:x val="0.40940369741917854"/>
              <c:y val="0.888526379854692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05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80378367"/>
        <c:crosses val="autoZero"/>
        <c:crossBetween val="midCat"/>
      </c:valAx>
      <c:valAx>
        <c:axId val="180378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solidFill>
                      <a:srgbClr val="EAEAEA"/>
                    </a:solidFill>
                    <a:latin typeface="Arial" panose="020B0604020202020204" pitchFamily="34" charset="0"/>
                    <a:cs typeface="Arial" panose="020B0604020202020204" pitchFamily="34" charset="0"/>
                  </a:rPr>
                  <a:t>Financial Inclusion</a:t>
                </a:r>
              </a:p>
            </c:rich>
          </c:tx>
          <c:layout>
            <c:manualLayout>
              <c:xMode val="edge"/>
              <c:yMode val="edge"/>
              <c:x val="1.3391228638793034E-2"/>
              <c:y val="0.264046559397466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05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80375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D9D6"/>
                </a:solidFill>
                <a:latin typeface="Arial" panose="020B0604020202020204" pitchFamily="34" charset="0"/>
                <a:cs typeface="Arial" panose="020B0604020202020204" pitchFamily="34" charset="0"/>
              </a:rPr>
              <a:t>Internet Penetration Vs Financial Inclusion</a:t>
            </a:r>
          </a:p>
        </c:rich>
      </c:tx>
      <c:layout>
        <c:manualLayout>
          <c:xMode val="edge"/>
          <c:yMode val="edge"/>
          <c:x val="0.18638193294507716"/>
          <c:y val="3.32963967252437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rgbClr val="FF2E63"/>
              </a:solidFill>
              <a:ln w="50800">
                <a:solidFill>
                  <a:srgbClr val="FF2E63"/>
                </a:solidFill>
              </a:ln>
              <a:effectLst/>
            </c:spPr>
          </c:marker>
          <c:trendline>
            <c:spPr>
              <a:ln w="31750" cap="rnd">
                <a:solidFill>
                  <a:srgbClr val="08D9D6"/>
                </a:solidFill>
                <a:prstDash val="sysDot"/>
              </a:ln>
              <a:effectLst/>
            </c:spPr>
            <c:trendlineType val="linear"/>
            <c:dispRSqr val="1"/>
            <c:dispEq val="1"/>
            <c:trendlineLbl>
              <c:layout>
                <c:manualLayout>
                  <c:x val="0.19507601423709275"/>
                  <c:y val="0.21838952823204791"/>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trendlineLbl>
          </c:trendline>
          <c:xVal>
            <c:numRef>
              <c:f>'Impact Analysis'!$B$4:$B$8</c:f>
              <c:numCache>
                <c:formatCode>General</c:formatCode>
                <c:ptCount val="5"/>
                <c:pt idx="0">
                  <c:v>0.71956197733965033</c:v>
                </c:pt>
                <c:pt idx="1">
                  <c:v>0.7811435803941732</c:v>
                </c:pt>
                <c:pt idx="2">
                  <c:v>0.62023636726797782</c:v>
                </c:pt>
                <c:pt idx="3">
                  <c:v>0.25607790052795187</c:v>
                </c:pt>
                <c:pt idx="4">
                  <c:v>0.40111482543577809</c:v>
                </c:pt>
              </c:numCache>
            </c:numRef>
          </c:xVal>
          <c:yVal>
            <c:numRef>
              <c:f>'Impact Analysis'!$C$4:$C$8</c:f>
              <c:numCache>
                <c:formatCode>General</c:formatCode>
                <c:ptCount val="5"/>
                <c:pt idx="0">
                  <c:v>0.96138277088278323</c:v>
                </c:pt>
                <c:pt idx="1">
                  <c:v>0.59536357304756682</c:v>
                </c:pt>
                <c:pt idx="2">
                  <c:v>0.52411387363336071</c:v>
                </c:pt>
                <c:pt idx="3">
                  <c:v>0.45949314137282499</c:v>
                </c:pt>
                <c:pt idx="4">
                  <c:v>4.8929876554097876E-2</c:v>
                </c:pt>
              </c:numCache>
            </c:numRef>
          </c:yVal>
          <c:smooth val="0"/>
          <c:extLst>
            <c:ext xmlns:c16="http://schemas.microsoft.com/office/drawing/2014/chart" uri="{C3380CC4-5D6E-409C-BE32-E72D297353CC}">
              <c16:uniqueId val="{00000001-531A-46FF-8210-1448A7B01806}"/>
            </c:ext>
          </c:extLst>
        </c:ser>
        <c:dLbls>
          <c:showLegendKey val="0"/>
          <c:showVal val="0"/>
          <c:showCatName val="0"/>
          <c:showSerName val="0"/>
          <c:showPercent val="0"/>
          <c:showBubbleSize val="0"/>
        </c:dLbls>
        <c:axId val="949881519"/>
        <c:axId val="949896879"/>
      </c:scatterChart>
      <c:valAx>
        <c:axId val="949881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Internet Penetration</a:t>
                </a:r>
              </a:p>
            </c:rich>
          </c:tx>
          <c:layout>
            <c:manualLayout>
              <c:xMode val="edge"/>
              <c:yMode val="edge"/>
              <c:x val="0.3834166920122109"/>
              <c:y val="0.863962472406181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949896879"/>
        <c:crosses val="autoZero"/>
        <c:crossBetween val="midCat"/>
      </c:valAx>
      <c:valAx>
        <c:axId val="9498968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Financial Inclusion</a:t>
                </a:r>
              </a:p>
            </c:rich>
          </c:tx>
          <c:layout>
            <c:manualLayout>
              <c:xMode val="edge"/>
              <c:yMode val="edge"/>
              <c:x val="1.944453831683057E-2"/>
              <c:y val="0.217029079974274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9498815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8D9D6"/>
                </a:solidFill>
                <a:latin typeface="Arial" panose="020B0604020202020204" pitchFamily="34" charset="0"/>
                <a:cs typeface="Arial" panose="020B0604020202020204" pitchFamily="34" charset="0"/>
              </a:rPr>
              <a:t>E-Government Vs Financial Inclusion</a:t>
            </a:r>
          </a:p>
        </c:rich>
      </c:tx>
      <c:layout>
        <c:manualLayout>
          <c:xMode val="edge"/>
          <c:yMode val="edge"/>
          <c:x val="0.20646925077901671"/>
          <c:y val="4.0831719805516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noFill/>
              <a:ln w="50800">
                <a:solidFill>
                  <a:srgbClr val="FF2E63"/>
                </a:solidFill>
              </a:ln>
              <a:effectLst/>
            </c:spPr>
          </c:marker>
          <c:trendline>
            <c:spPr>
              <a:ln w="31750" cap="rnd">
                <a:solidFill>
                  <a:srgbClr val="08D9D6"/>
                </a:solidFill>
                <a:prstDash val="sysDot"/>
              </a:ln>
              <a:effectLst/>
            </c:spPr>
            <c:trendlineType val="linear"/>
            <c:dispRSqr val="1"/>
            <c:dispEq val="1"/>
            <c:trendlineLbl>
              <c:layout>
                <c:manualLayout>
                  <c:x val="7.6873832449992782E-2"/>
                  <c:y val="0.2591725829353298"/>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trendlineLbl>
          </c:trendline>
          <c:xVal>
            <c:numRef>
              <c:f>'Impact Analysis'!$B$22:$B$26</c:f>
              <c:numCache>
                <c:formatCode>General</c:formatCode>
                <c:ptCount val="5"/>
                <c:pt idx="0">
                  <c:v>0.92529866666666682</c:v>
                </c:pt>
                <c:pt idx="1">
                  <c:v>0.85816066666666679</c:v>
                </c:pt>
                <c:pt idx="2">
                  <c:v>0.80146866666666661</c:v>
                </c:pt>
                <c:pt idx="3">
                  <c:v>0.57662533333333332</c:v>
                </c:pt>
                <c:pt idx="4">
                  <c:v>0.55190533333333336</c:v>
                </c:pt>
              </c:numCache>
            </c:numRef>
          </c:xVal>
          <c:yVal>
            <c:numRef>
              <c:f>'Impact Analysis'!$C$22:$C$26</c:f>
              <c:numCache>
                <c:formatCode>General</c:formatCode>
                <c:ptCount val="5"/>
                <c:pt idx="0">
                  <c:v>0.96138277088278323</c:v>
                </c:pt>
                <c:pt idx="1">
                  <c:v>0.59536357304756682</c:v>
                </c:pt>
                <c:pt idx="2">
                  <c:v>0.52411387363336071</c:v>
                </c:pt>
                <c:pt idx="3">
                  <c:v>0.45949314137282499</c:v>
                </c:pt>
                <c:pt idx="4">
                  <c:v>4.8929876554097876E-2</c:v>
                </c:pt>
              </c:numCache>
            </c:numRef>
          </c:yVal>
          <c:smooth val="0"/>
          <c:extLst>
            <c:ext xmlns:c16="http://schemas.microsoft.com/office/drawing/2014/chart" uri="{C3380CC4-5D6E-409C-BE32-E72D297353CC}">
              <c16:uniqueId val="{00000001-B511-463D-99B2-A4B3BEA1177E}"/>
            </c:ext>
          </c:extLst>
        </c:ser>
        <c:dLbls>
          <c:showLegendKey val="0"/>
          <c:showVal val="0"/>
          <c:showCatName val="0"/>
          <c:showSerName val="0"/>
          <c:showPercent val="0"/>
          <c:showBubbleSize val="0"/>
        </c:dLbls>
        <c:axId val="949909839"/>
        <c:axId val="949905999"/>
      </c:scatterChart>
      <c:valAx>
        <c:axId val="94990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E-Government</a:t>
                </a:r>
              </a:p>
            </c:rich>
          </c:tx>
          <c:layout>
            <c:manualLayout>
              <c:xMode val="edge"/>
              <c:yMode val="edge"/>
              <c:x val="0.42732778759267276"/>
              <c:y val="0.870765027322404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949905999"/>
        <c:crosses val="autoZero"/>
        <c:crossBetween val="midCat"/>
      </c:valAx>
      <c:valAx>
        <c:axId val="949905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Financial Inclusion</a:t>
                </a:r>
              </a:p>
            </c:rich>
          </c:tx>
          <c:layout>
            <c:manualLayout>
              <c:xMode val="edge"/>
              <c:yMode val="edge"/>
              <c:x val="1.4858841010401188E-2"/>
              <c:y val="0.206693773933995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949909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08D9D6"/>
                </a:solidFill>
                <a:latin typeface="Arial" panose="020B0604020202020204" pitchFamily="34" charset="0"/>
                <a:cs typeface="Arial" panose="020B0604020202020204" pitchFamily="34" charset="0"/>
              </a:rPr>
              <a:t>Digital Payments Vs</a:t>
            </a:r>
            <a:r>
              <a:rPr lang="en-US" b="0" baseline="0">
                <a:solidFill>
                  <a:srgbClr val="08D9D6"/>
                </a:solidFill>
                <a:latin typeface="Arial" panose="020B0604020202020204" pitchFamily="34" charset="0"/>
                <a:cs typeface="Arial" panose="020B0604020202020204" pitchFamily="34" charset="0"/>
              </a:rPr>
              <a:t> Financial Inclusion</a:t>
            </a:r>
            <a:endParaRPr lang="en-US" b="0">
              <a:solidFill>
                <a:srgbClr val="08D9D6"/>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noFill/>
              <a:ln w="50800">
                <a:solidFill>
                  <a:srgbClr val="FF2E63"/>
                </a:solidFill>
              </a:ln>
              <a:effectLst/>
            </c:spPr>
          </c:marker>
          <c:trendline>
            <c:spPr>
              <a:ln w="25400" cap="rnd">
                <a:solidFill>
                  <a:srgbClr val="08D9D6"/>
                </a:solidFill>
                <a:prstDash val="sysDot"/>
              </a:ln>
              <a:effectLst/>
            </c:spPr>
            <c:trendlineType val="linear"/>
            <c:dispRSqr val="1"/>
            <c:dispEq val="1"/>
            <c:trendlineLbl>
              <c:layout>
                <c:manualLayout>
                  <c:x val="0.14544512257252984"/>
                  <c:y val="0.21562459395545855"/>
                </c:manualLayout>
              </c:layout>
              <c:tx>
                <c:rich>
                  <a:bodyPr rot="0" spcFirstLastPara="1" vertOverflow="ellipsis" vert="horz" wrap="square" anchor="ctr" anchorCtr="1"/>
                  <a:lstStyle/>
                  <a:p>
                    <a:pPr>
                      <a:defRPr sz="900" b="0" i="0" u="none" strike="noStrike" kern="1200" baseline="0">
                        <a:solidFill>
                          <a:srgbClr val="EAEAEA"/>
                        </a:solidFill>
                        <a:latin typeface="+mn-lt"/>
                        <a:ea typeface="+mn-ea"/>
                        <a:cs typeface="+mn-cs"/>
                      </a:defRPr>
                    </a:pPr>
                    <a:r>
                      <a:rPr lang="en-US" sz="1050" baseline="0">
                        <a:solidFill>
                          <a:srgbClr val="EAEAEA"/>
                        </a:solidFill>
                        <a:latin typeface="Arial" panose="020B0604020202020204" pitchFamily="34" charset="0"/>
                        <a:cs typeface="Arial" panose="020B0604020202020204" pitchFamily="34" charset="0"/>
                      </a:rPr>
                      <a:t>y = 1.0022x + 0.0766</a:t>
                    </a:r>
                    <a:br>
                      <a:rPr lang="en-US" sz="1050" baseline="0">
                        <a:solidFill>
                          <a:srgbClr val="EAEAEA"/>
                        </a:solidFill>
                        <a:latin typeface="Arial" panose="020B0604020202020204" pitchFamily="34" charset="0"/>
                        <a:cs typeface="Arial" panose="020B0604020202020204" pitchFamily="34" charset="0"/>
                      </a:rPr>
                    </a:br>
                    <a:r>
                      <a:rPr lang="en-US" sz="1050" baseline="0">
                        <a:solidFill>
                          <a:srgbClr val="EAEAEA"/>
                        </a:solidFill>
                        <a:latin typeface="Arial" panose="020B0604020202020204" pitchFamily="34" charset="0"/>
                        <a:cs typeface="Arial" panose="020B0604020202020204" pitchFamily="34" charset="0"/>
                      </a:rPr>
                      <a:t>R² = 0.6294</a:t>
                    </a:r>
                    <a:endParaRPr lang="en-US" sz="1050">
                      <a:solidFill>
                        <a:srgbClr val="EAEAEA"/>
                      </a:solidFill>
                      <a:latin typeface="Arial" panose="020B0604020202020204" pitchFamily="34" charset="0"/>
                      <a:cs typeface="Arial" panose="020B0604020202020204" pitchFamily="34" charset="0"/>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mn-lt"/>
                      <a:ea typeface="+mn-ea"/>
                      <a:cs typeface="+mn-cs"/>
                    </a:defRPr>
                  </a:pPr>
                  <a:endParaRPr lang="en-US"/>
                </a:p>
              </c:txPr>
            </c:trendlineLbl>
          </c:trendline>
          <c:xVal>
            <c:numRef>
              <c:f>'Impact Analysis'!$B$61:$B$65</c:f>
              <c:numCache>
                <c:formatCode>General</c:formatCode>
                <c:ptCount val="5"/>
                <c:pt idx="0">
                  <c:v>0.63535783347000752</c:v>
                </c:pt>
                <c:pt idx="1">
                  <c:v>0.56436852021064765</c:v>
                </c:pt>
                <c:pt idx="2">
                  <c:v>0.67231857156786445</c:v>
                </c:pt>
                <c:pt idx="3">
                  <c:v>0.23262859545135892</c:v>
                </c:pt>
                <c:pt idx="4">
                  <c:v>0.11133560061158436</c:v>
                </c:pt>
              </c:numCache>
            </c:numRef>
          </c:xVal>
          <c:yVal>
            <c:numRef>
              <c:f>'Impact Analysis'!$C$61:$C$65</c:f>
              <c:numCache>
                <c:formatCode>General</c:formatCode>
                <c:ptCount val="5"/>
                <c:pt idx="0">
                  <c:v>0.96138277088278323</c:v>
                </c:pt>
                <c:pt idx="1">
                  <c:v>0.59536357304756682</c:v>
                </c:pt>
                <c:pt idx="2">
                  <c:v>0.52411387363336071</c:v>
                </c:pt>
                <c:pt idx="3">
                  <c:v>0.45949314137282499</c:v>
                </c:pt>
                <c:pt idx="4">
                  <c:v>6.3405619923347242E-2</c:v>
                </c:pt>
              </c:numCache>
            </c:numRef>
          </c:yVal>
          <c:smooth val="0"/>
          <c:extLst>
            <c:ext xmlns:c16="http://schemas.microsoft.com/office/drawing/2014/chart" uri="{C3380CC4-5D6E-409C-BE32-E72D297353CC}">
              <c16:uniqueId val="{00000001-79A9-4418-977B-9041E7D595E2}"/>
            </c:ext>
          </c:extLst>
        </c:ser>
        <c:dLbls>
          <c:showLegendKey val="0"/>
          <c:showVal val="0"/>
          <c:showCatName val="0"/>
          <c:showSerName val="0"/>
          <c:showPercent val="0"/>
          <c:showBubbleSize val="0"/>
        </c:dLbls>
        <c:axId val="163924383"/>
        <c:axId val="163908063"/>
      </c:scatterChart>
      <c:valAx>
        <c:axId val="16392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Digital Payments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05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63908063"/>
        <c:crosses val="autoZero"/>
        <c:crossBetween val="midCat"/>
      </c:valAx>
      <c:valAx>
        <c:axId val="163908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solidFill>
                      <a:srgbClr val="EAEAEA"/>
                    </a:solidFill>
                    <a:latin typeface="Arial" panose="020B0604020202020204" pitchFamily="34" charset="0"/>
                    <a:cs typeface="Arial" panose="020B0604020202020204" pitchFamily="34" charset="0"/>
                  </a:rPr>
                  <a:t>Financial Inclusion</a:t>
                </a:r>
              </a:p>
            </c:rich>
          </c:tx>
          <c:layout>
            <c:manualLayout>
              <c:xMode val="edge"/>
              <c:yMode val="edge"/>
              <c:x val="2.2222222222222223E-2"/>
              <c:y val="0.266913458734324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05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63924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.xlsx]Growth 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8D9D6"/>
                </a:solidFill>
                <a:latin typeface="Arial" panose="020B0604020202020204" pitchFamily="34" charset="0"/>
                <a:cs typeface="Arial" panose="020B0604020202020204" pitchFamily="34" charset="0"/>
              </a:rPr>
              <a:t>Growth Of Digital Transformation And Financial Inclusion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D9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AEA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2E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8D9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AEA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2E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8D9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AEA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2E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2714660667416E-2"/>
          <c:y val="0.13744148916869262"/>
          <c:w val="0.70785632384689112"/>
          <c:h val="0.71547074760816187"/>
        </c:manualLayout>
      </c:layout>
      <c:barChart>
        <c:barDir val="col"/>
        <c:grouping val="clustered"/>
        <c:varyColors val="0"/>
        <c:ser>
          <c:idx val="0"/>
          <c:order val="0"/>
          <c:tx>
            <c:strRef>
              <c:f>'Growth Analysis'!$B$78</c:f>
              <c:strCache>
                <c:ptCount val="1"/>
                <c:pt idx="0">
                  <c:v>Average of DT_Growth%</c:v>
                </c:pt>
              </c:strCache>
            </c:strRef>
          </c:tx>
          <c:spPr>
            <a:solidFill>
              <a:schemeClr val="accent1"/>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Analysis'!$B$79:$B$83</c:f>
              <c:numCache>
                <c:formatCode>General</c:formatCode>
                <c:ptCount val="5"/>
                <c:pt idx="0">
                  <c:v>-6.5174801251701329</c:v>
                </c:pt>
                <c:pt idx="1">
                  <c:v>93.8681380379968</c:v>
                </c:pt>
                <c:pt idx="2">
                  <c:v>13.222405202199466</c:v>
                </c:pt>
                <c:pt idx="3">
                  <c:v>14.18986128643728</c:v>
                </c:pt>
                <c:pt idx="4">
                  <c:v>-9.7643971706234822</c:v>
                </c:pt>
              </c:numCache>
            </c:numRef>
          </c:val>
          <c:extLst>
            <c:ext xmlns:c16="http://schemas.microsoft.com/office/drawing/2014/chart" uri="{C3380CC4-5D6E-409C-BE32-E72D297353CC}">
              <c16:uniqueId val="{00000000-6EA4-4702-AD06-42175F8EC0C3}"/>
            </c:ext>
          </c:extLst>
        </c:ser>
        <c:ser>
          <c:idx val="1"/>
          <c:order val="1"/>
          <c:tx>
            <c:strRef>
              <c:f>'Growth Analysis'!$C$78</c:f>
              <c:strCache>
                <c:ptCount val="1"/>
                <c:pt idx="0">
                  <c:v>Average FI Growth%</c:v>
                </c:pt>
              </c:strCache>
            </c:strRef>
          </c:tx>
          <c:spPr>
            <a:solidFill>
              <a:srgbClr val="C00000"/>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Analysis'!$C$79:$C$83</c:f>
              <c:numCache>
                <c:formatCode>General</c:formatCode>
                <c:ptCount val="5"/>
                <c:pt idx="0">
                  <c:v>149.45442409215053</c:v>
                </c:pt>
                <c:pt idx="1">
                  <c:v>25.068168824689952</c:v>
                </c:pt>
                <c:pt idx="2">
                  <c:v>44.946989900595</c:v>
                </c:pt>
                <c:pt idx="3">
                  <c:v>-28.308660990907153</c:v>
                </c:pt>
                <c:pt idx="4">
                  <c:v>-3.0990654355193969</c:v>
                </c:pt>
              </c:numCache>
            </c:numRef>
          </c:val>
          <c:extLst>
            <c:ext xmlns:c16="http://schemas.microsoft.com/office/drawing/2014/chart" uri="{C3380CC4-5D6E-409C-BE32-E72D297353CC}">
              <c16:uniqueId val="{00000001-6EA4-4702-AD06-42175F8EC0C3}"/>
            </c:ext>
          </c:extLst>
        </c:ser>
        <c:ser>
          <c:idx val="2"/>
          <c:order val="2"/>
          <c:tx>
            <c:strRef>
              <c:f>'Growth Analysis'!$D$78</c:f>
              <c:strCache>
                <c:ptCount val="1"/>
                <c:pt idx="0">
                  <c:v>Average EGOV Growth%</c:v>
                </c:pt>
              </c:strCache>
            </c:strRef>
          </c:tx>
          <c:spPr>
            <a:solidFill>
              <a:srgbClr val="08D9D6"/>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Analysis'!$D$79:$D$83</c:f>
              <c:numCache>
                <c:formatCode>General</c:formatCode>
                <c:ptCount val="5"/>
                <c:pt idx="0">
                  <c:v>32.924396533829658</c:v>
                </c:pt>
                <c:pt idx="1">
                  <c:v>21.872281246462567</c:v>
                </c:pt>
                <c:pt idx="2">
                  <c:v>30.126410371054003</c:v>
                </c:pt>
                <c:pt idx="3">
                  <c:v>17.284723671699247</c:v>
                </c:pt>
                <c:pt idx="4">
                  <c:v>2.878639068867467</c:v>
                </c:pt>
              </c:numCache>
            </c:numRef>
          </c:val>
          <c:extLst>
            <c:ext xmlns:c16="http://schemas.microsoft.com/office/drawing/2014/chart" uri="{C3380CC4-5D6E-409C-BE32-E72D297353CC}">
              <c16:uniqueId val="{00000002-6EA4-4702-AD06-42175F8EC0C3}"/>
            </c:ext>
          </c:extLst>
        </c:ser>
        <c:ser>
          <c:idx val="3"/>
          <c:order val="3"/>
          <c:tx>
            <c:strRef>
              <c:f>'Growth Analysis'!$E$78</c:f>
              <c:strCache>
                <c:ptCount val="1"/>
                <c:pt idx="0">
                  <c:v>Average Internet Growth%</c:v>
                </c:pt>
              </c:strCache>
            </c:strRef>
          </c:tx>
          <c:spPr>
            <a:solidFill>
              <a:srgbClr val="EAEAEA"/>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Analysis'!$E$79:$E$83</c:f>
              <c:numCache>
                <c:formatCode>General</c:formatCode>
                <c:ptCount val="5"/>
                <c:pt idx="0">
                  <c:v>-19.141975829072532</c:v>
                </c:pt>
                <c:pt idx="1">
                  <c:v>169.50831745459973</c:v>
                </c:pt>
                <c:pt idx="2">
                  <c:v>-4.520193185468611</c:v>
                </c:pt>
                <c:pt idx="3">
                  <c:v>19.228654310267967</c:v>
                </c:pt>
                <c:pt idx="4">
                  <c:v>-16.239590437227296</c:v>
                </c:pt>
              </c:numCache>
            </c:numRef>
          </c:val>
          <c:extLst>
            <c:ext xmlns:c16="http://schemas.microsoft.com/office/drawing/2014/chart" uri="{C3380CC4-5D6E-409C-BE32-E72D297353CC}">
              <c16:uniqueId val="{00000003-6EA4-4702-AD06-42175F8EC0C3}"/>
            </c:ext>
          </c:extLst>
        </c:ser>
        <c:ser>
          <c:idx val="4"/>
          <c:order val="4"/>
          <c:tx>
            <c:strRef>
              <c:f>'Growth Analysis'!$F$78</c:f>
              <c:strCache>
                <c:ptCount val="1"/>
                <c:pt idx="0">
                  <c:v>Average Digital Payments Growth%</c:v>
                </c:pt>
              </c:strCache>
            </c:strRef>
          </c:tx>
          <c:spPr>
            <a:solidFill>
              <a:srgbClr val="FF2E63"/>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Analysis'!$F$79:$F$83</c:f>
              <c:numCache>
                <c:formatCode>General</c:formatCode>
                <c:ptCount val="5"/>
                <c:pt idx="0">
                  <c:v>1705.0537990557559</c:v>
                </c:pt>
                <c:pt idx="1">
                  <c:v>1121.2533367640824</c:v>
                </c:pt>
                <c:pt idx="2">
                  <c:v>105.20576619745674</c:v>
                </c:pt>
                <c:pt idx="3">
                  <c:v>-32.695914469339847</c:v>
                </c:pt>
                <c:pt idx="4">
                  <c:v>-4.9918872748217344</c:v>
                </c:pt>
              </c:numCache>
            </c:numRef>
          </c:val>
          <c:extLst>
            <c:ext xmlns:c16="http://schemas.microsoft.com/office/drawing/2014/chart" uri="{C3380CC4-5D6E-409C-BE32-E72D297353CC}">
              <c16:uniqueId val="{00000004-6EA4-4702-AD06-42175F8EC0C3}"/>
            </c:ext>
          </c:extLst>
        </c:ser>
        <c:dLbls>
          <c:showLegendKey val="0"/>
          <c:showVal val="0"/>
          <c:showCatName val="0"/>
          <c:showSerName val="0"/>
          <c:showPercent val="0"/>
          <c:showBubbleSize val="0"/>
        </c:dLbls>
        <c:gapWidth val="219"/>
        <c:overlap val="-27"/>
        <c:axId val="708676671"/>
        <c:axId val="708677151"/>
      </c:barChart>
      <c:catAx>
        <c:axId val="70867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Country</a:t>
                </a:r>
              </a:p>
            </c:rich>
          </c:tx>
          <c:layout>
            <c:manualLayout>
              <c:xMode val="edge"/>
              <c:yMode val="edge"/>
              <c:x val="0.47657289959062282"/>
              <c:y val="0.921337856961428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708677151"/>
        <c:crosses val="autoZero"/>
        <c:auto val="1"/>
        <c:lblAlgn val="ctr"/>
        <c:lblOffset val="100"/>
        <c:noMultiLvlLbl val="0"/>
      </c:catAx>
      <c:valAx>
        <c:axId val="708677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Avg</a:t>
                </a:r>
                <a:r>
                  <a:rPr lang="en-US" sz="1100" baseline="0">
                    <a:solidFill>
                      <a:srgbClr val="EAEAEA"/>
                    </a:solidFill>
                    <a:latin typeface="Arial" panose="020B0604020202020204" pitchFamily="34" charset="0"/>
                    <a:cs typeface="Arial" panose="020B0604020202020204" pitchFamily="34" charset="0"/>
                  </a:rPr>
                  <a:t> Index Growth%</a:t>
                </a:r>
                <a:endParaRPr lang="en-US" sz="1100">
                  <a:solidFill>
                    <a:srgbClr val="EAEAEA"/>
                  </a:solidFill>
                  <a:latin typeface="Arial" panose="020B0604020202020204" pitchFamily="34" charset="0"/>
                  <a:cs typeface="Arial" panose="020B0604020202020204" pitchFamily="34" charset="0"/>
                </a:endParaRPr>
              </a:p>
            </c:rich>
          </c:tx>
          <c:layout>
            <c:manualLayout>
              <c:xMode val="edge"/>
              <c:yMode val="edge"/>
              <c:x val="5.7028799543769604E-3"/>
              <c:y val="0.245750947798191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708676671"/>
        <c:crosses val="autoZero"/>
        <c:crossBetween val="between"/>
      </c:valAx>
      <c:spPr>
        <a:noFill/>
        <a:ln>
          <a:noFill/>
        </a:ln>
        <a:effectLst/>
      </c:spPr>
    </c:plotArea>
    <c:legend>
      <c:legendPos val="r"/>
      <c:layout>
        <c:manualLayout>
          <c:xMode val="edge"/>
          <c:yMode val="edge"/>
          <c:x val="0.78638123078926525"/>
          <c:y val="0.3139453922426364"/>
          <c:w val="0.21361884478603996"/>
          <c:h val="0.3134734190065864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.xlsx]Trend Analysis!PivotTable2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EAEAEA"/>
                </a:solidFill>
                <a:latin typeface="Arial" panose="020B0604020202020204" pitchFamily="34" charset="0"/>
                <a:cs typeface="Arial" panose="020B0604020202020204" pitchFamily="34" charset="0"/>
              </a:rPr>
              <a:t>Internet Penetration Trend </a:t>
            </a:r>
            <a:endParaRPr lang="en-US" sz="1400" b="1"/>
          </a:p>
        </c:rich>
      </c:tx>
      <c:layout>
        <c:manualLayout>
          <c:xMode val="edge"/>
          <c:yMode val="edge"/>
          <c:x val="0.24234711286089239"/>
          <c:y val="6.94444444444444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2E63"/>
            </a:solidFill>
            <a:round/>
          </a:ln>
          <a:effectLst/>
        </c:spPr>
        <c:marker>
          <c:symbol val="circle"/>
          <c:size val="5"/>
          <c:spPr>
            <a:solidFill>
              <a:srgbClr val="FF2E63"/>
            </a:solidFill>
            <a:ln w="254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2E63"/>
            </a:solidFill>
            <a:round/>
          </a:ln>
          <a:effectLst/>
        </c:spPr>
        <c:marker>
          <c:symbol val="circle"/>
          <c:size val="5"/>
          <c:spPr>
            <a:solidFill>
              <a:srgbClr val="FF2E63"/>
            </a:solidFill>
            <a:ln w="254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Analysis'!$B$29:$B$30</c:f>
              <c:strCache>
                <c:ptCount val="1"/>
                <c:pt idx="0">
                  <c:v>Egypt, Arab Rep</c:v>
                </c:pt>
              </c:strCache>
            </c:strRef>
          </c:tx>
          <c:spPr>
            <a:ln w="28575" cap="rnd">
              <a:solidFill>
                <a:srgbClr val="FF2E63"/>
              </a:solidFill>
              <a:round/>
            </a:ln>
            <a:effectLst/>
          </c:spPr>
          <c:marker>
            <c:symbol val="circle"/>
            <c:size val="5"/>
            <c:spPr>
              <a:solidFill>
                <a:srgbClr val="FF2E63"/>
              </a:solidFill>
              <a:ln w="25400">
                <a:solidFill>
                  <a:srgbClr val="FF2E63"/>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Analysis'!$B$31:$B$40</c:f>
              <c:numCache>
                <c:formatCode>General</c:formatCode>
                <c:ptCount val="10"/>
                <c:pt idx="0">
                  <c:v>0.39615535655501877</c:v>
                </c:pt>
                <c:pt idx="1">
                  <c:v>0.47174172603804787</c:v>
                </c:pt>
                <c:pt idx="2">
                  <c:v>0.53624185486315334</c:v>
                </c:pt>
                <c:pt idx="3">
                  <c:v>0.42333060520496224</c:v>
                </c:pt>
                <c:pt idx="4">
                  <c:v>0.30304255632585003</c:v>
                </c:pt>
                <c:pt idx="5">
                  <c:v>0.3288000967112189</c:v>
                </c:pt>
                <c:pt idx="6">
                  <c:v>0.34016809014661648</c:v>
                </c:pt>
                <c:pt idx="7">
                  <c:v>0.35560602035979932</c:v>
                </c:pt>
                <c:pt idx="8">
                  <c:v>0.38245536704512506</c:v>
                </c:pt>
                <c:pt idx="9">
                  <c:v>0.39942628696977533</c:v>
                </c:pt>
              </c:numCache>
            </c:numRef>
          </c:val>
          <c:smooth val="0"/>
          <c:extLst>
            <c:ext xmlns:c16="http://schemas.microsoft.com/office/drawing/2014/chart" uri="{C3380CC4-5D6E-409C-BE32-E72D297353CC}">
              <c16:uniqueId val="{00000000-7E6B-4DAB-BD2D-072E28A4AFF3}"/>
            </c:ext>
          </c:extLst>
        </c:ser>
        <c:ser>
          <c:idx val="1"/>
          <c:order val="1"/>
          <c:tx>
            <c:strRef>
              <c:f>'Trend Analysis'!$C$29:$C$30</c:f>
              <c:strCache>
                <c:ptCount val="1"/>
                <c:pt idx="0">
                  <c:v>India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Analysis'!$C$31:$C$40</c:f>
              <c:numCache>
                <c:formatCode>General</c:formatCode>
                <c:ptCount val="10"/>
                <c:pt idx="0">
                  <c:v>7.1035103721290654E-2</c:v>
                </c:pt>
                <c:pt idx="1">
                  <c:v>7.7897118660340922E-2</c:v>
                </c:pt>
                <c:pt idx="2">
                  <c:v>5.2823426366916469E-2</c:v>
                </c:pt>
                <c:pt idx="3">
                  <c:v>0.34930448549877452</c:v>
                </c:pt>
                <c:pt idx="4">
                  <c:v>0.26480192894037091</c:v>
                </c:pt>
                <c:pt idx="5">
                  <c:v>0.25976404611880771</c:v>
                </c:pt>
                <c:pt idx="6">
                  <c:v>0.30331355313585251</c:v>
                </c:pt>
                <c:pt idx="7">
                  <c:v>0.33933877582069583</c:v>
                </c:pt>
                <c:pt idx="8">
                  <c:v>0.41050433597543207</c:v>
                </c:pt>
                <c:pt idx="9">
                  <c:v>0.43199623104103729</c:v>
                </c:pt>
              </c:numCache>
            </c:numRef>
          </c:val>
          <c:smooth val="0"/>
          <c:extLst>
            <c:ext xmlns:c16="http://schemas.microsoft.com/office/drawing/2014/chart" uri="{C3380CC4-5D6E-409C-BE32-E72D297353CC}">
              <c16:uniqueId val="{00000000-F3FC-462B-A376-0441F2F82082}"/>
            </c:ext>
          </c:extLst>
        </c:ser>
        <c:ser>
          <c:idx val="2"/>
          <c:order val="2"/>
          <c:tx>
            <c:strRef>
              <c:f>'Trend Analysis'!$D$29:$D$30</c:f>
              <c:strCache>
                <c:ptCount val="1"/>
                <c:pt idx="0">
                  <c:v>Saudi Arabia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Analysis'!$D$31:$D$40</c:f>
              <c:numCache>
                <c:formatCode>General</c:formatCode>
                <c:ptCount val="10"/>
                <c:pt idx="0">
                  <c:v>0.61190944674947856</c:v>
                </c:pt>
                <c:pt idx="1">
                  <c:v>0.65753361589895998</c:v>
                </c:pt>
                <c:pt idx="2">
                  <c:v>0.66175924462062174</c:v>
                </c:pt>
                <c:pt idx="3">
                  <c:v>0.70653108563382361</c:v>
                </c:pt>
                <c:pt idx="4">
                  <c:v>0.50821065820494249</c:v>
                </c:pt>
                <c:pt idx="5">
                  <c:v>0.53791687374589381</c:v>
                </c:pt>
                <c:pt idx="6">
                  <c:v>0.55881088042802274</c:v>
                </c:pt>
                <c:pt idx="7">
                  <c:v>0.56067210608207829</c:v>
                </c:pt>
                <c:pt idx="8">
                  <c:v>0.6474793460564412</c:v>
                </c:pt>
                <c:pt idx="9">
                  <c:v>0.75154041525951532</c:v>
                </c:pt>
              </c:numCache>
            </c:numRef>
          </c:val>
          <c:smooth val="0"/>
          <c:extLst>
            <c:ext xmlns:c16="http://schemas.microsoft.com/office/drawing/2014/chart" uri="{C3380CC4-5D6E-409C-BE32-E72D297353CC}">
              <c16:uniqueId val="{00000001-F3FC-462B-A376-0441F2F82082}"/>
            </c:ext>
          </c:extLst>
        </c:ser>
        <c:ser>
          <c:idx val="3"/>
          <c:order val="3"/>
          <c:tx>
            <c:strRef>
              <c:f>'Trend Analysis'!$E$29:$E$30</c:f>
              <c:strCache>
                <c:ptCount val="1"/>
                <c:pt idx="0">
                  <c:v>United Arab Emirates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Analysis'!$E$31:$E$40</c:f>
              <c:numCache>
                <c:formatCode>General</c:formatCode>
                <c:ptCount val="10"/>
                <c:pt idx="0">
                  <c:v>0.67705505452777937</c:v>
                </c:pt>
                <c:pt idx="1">
                  <c:v>0.70530673184697135</c:v>
                </c:pt>
                <c:pt idx="2">
                  <c:v>0.78010320862476923</c:v>
                </c:pt>
                <c:pt idx="3">
                  <c:v>0.79304168243860329</c:v>
                </c:pt>
                <c:pt idx="4">
                  <c:v>0.59675259273086712</c:v>
                </c:pt>
                <c:pt idx="5">
                  <c:v>0.73536569421315634</c:v>
                </c:pt>
                <c:pt idx="6">
                  <c:v>0.85655199225670942</c:v>
                </c:pt>
                <c:pt idx="7">
                  <c:v>0.81785874388928304</c:v>
                </c:pt>
                <c:pt idx="8">
                  <c:v>0.89159615921585211</c:v>
                </c:pt>
                <c:pt idx="9">
                  <c:v>0.95780394419774162</c:v>
                </c:pt>
              </c:numCache>
            </c:numRef>
          </c:val>
          <c:smooth val="0"/>
          <c:extLst>
            <c:ext xmlns:c16="http://schemas.microsoft.com/office/drawing/2014/chart" uri="{C3380CC4-5D6E-409C-BE32-E72D297353CC}">
              <c16:uniqueId val="{00000002-F3FC-462B-A376-0441F2F82082}"/>
            </c:ext>
          </c:extLst>
        </c:ser>
        <c:ser>
          <c:idx val="4"/>
          <c:order val="4"/>
          <c:tx>
            <c:strRef>
              <c:f>'Trend Analysis'!$F$29:$F$30</c:f>
              <c:strCache>
                <c:ptCount val="1"/>
                <c:pt idx="0">
                  <c:v>United Kingdom</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Analysis'!$A$31:$A$40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Analysis'!$F$31:$F$40</c:f>
              <c:numCache>
                <c:formatCode>General</c:formatCode>
                <c:ptCount val="10"/>
                <c:pt idx="0">
                  <c:v>0.83328053612667397</c:v>
                </c:pt>
                <c:pt idx="1">
                  <c:v>0.84992643116647115</c:v>
                </c:pt>
                <c:pt idx="2">
                  <c:v>0.80547826049508897</c:v>
                </c:pt>
                <c:pt idx="3">
                  <c:v>0.80291156167036537</c:v>
                </c:pt>
                <c:pt idx="4">
                  <c:v>0.57618978344839666</c:v>
                </c:pt>
                <c:pt idx="5">
                  <c:v>0.57077824848390835</c:v>
                </c:pt>
                <c:pt idx="6">
                  <c:v>0.64291908232424677</c:v>
                </c:pt>
                <c:pt idx="7">
                  <c:v>0.67430668369218993</c:v>
                </c:pt>
                <c:pt idx="8">
                  <c:v>0.70395887434193438</c:v>
                </c:pt>
                <c:pt idx="9">
                  <c:v>0.73587031164722849</c:v>
                </c:pt>
              </c:numCache>
            </c:numRef>
          </c:val>
          <c:smooth val="0"/>
          <c:extLst>
            <c:ext xmlns:c16="http://schemas.microsoft.com/office/drawing/2014/chart" uri="{C3380CC4-5D6E-409C-BE32-E72D297353CC}">
              <c16:uniqueId val="{00000003-F3FC-462B-A376-0441F2F82082}"/>
            </c:ext>
          </c:extLst>
        </c:ser>
        <c:dLbls>
          <c:showLegendKey val="0"/>
          <c:showVal val="0"/>
          <c:showCatName val="0"/>
          <c:showSerName val="0"/>
          <c:showPercent val="0"/>
          <c:showBubbleSize val="0"/>
        </c:dLbls>
        <c:marker val="1"/>
        <c:smooth val="0"/>
        <c:axId val="415208607"/>
        <c:axId val="415209087"/>
      </c:lineChart>
      <c:catAx>
        <c:axId val="415208607"/>
        <c:scaling>
          <c:orientation val="minMax"/>
        </c:scaling>
        <c:delete val="0"/>
        <c:axPos val="b"/>
        <c:numFmt formatCode="General" sourceLinked="1"/>
        <c:majorTickMark val="none"/>
        <c:minorTickMark val="out"/>
        <c:tickLblPos val="nextTo"/>
        <c:spPr>
          <a:noFill/>
          <a:ln w="0" cap="rnd" cmpd="sng" algn="ctr">
            <a:solidFill>
              <a:srgbClr val="FF2E63"/>
            </a:solidFill>
            <a:round/>
          </a:ln>
          <a:effectLst/>
        </c:spPr>
        <c:txPr>
          <a:bodyPr rot="-5400000" spcFirstLastPara="1" vertOverflow="ellipsis" wrap="square" anchor="ctr" anchorCtr="1"/>
          <a:lstStyle/>
          <a:p>
            <a:pPr algn="ctr">
              <a:defRPr lang="en-US"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15209087"/>
        <c:crosses val="autoZero"/>
        <c:auto val="1"/>
        <c:lblAlgn val="ctr"/>
        <c:lblOffset val="100"/>
        <c:noMultiLvlLbl val="0"/>
      </c:catAx>
      <c:valAx>
        <c:axId val="41520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15208607"/>
        <c:crosses val="autoZero"/>
        <c:crossBetween val="between"/>
      </c:valAx>
      <c:spPr>
        <a:noFill/>
        <a:ln>
          <a:noFill/>
        </a:ln>
        <a:effectLst/>
      </c:spPr>
    </c:plotArea>
    <c:legend>
      <c:legendPos val="r"/>
      <c:layout>
        <c:manualLayout>
          <c:xMode val="edge"/>
          <c:yMode val="edge"/>
          <c:x val="0.6989713473315835"/>
          <c:y val="0.36970909886264214"/>
          <c:w val="0.22511803640578684"/>
          <c:h val="7.3840405365995912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A3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.xlsx]Trend Analysis!PivotTable3</c:name>
    <c:fmtId val="3"/>
  </c:pivotSource>
  <c:chart>
    <c:title>
      <c:tx>
        <c:rich>
          <a:bodyPr rot="0" spcFirstLastPara="1" vertOverflow="ellipsis" vert="horz" wrap="square" anchor="ctr" anchorCtr="1"/>
          <a:lstStyle/>
          <a:p>
            <a:pPr>
              <a:defRPr sz="1400" b="1" i="0" u="none" strike="noStrike" kern="1200" spc="0" baseline="0">
                <a:solidFill>
                  <a:srgbClr val="EAEAEA"/>
                </a:solidFill>
                <a:latin typeface="Arial" panose="020B0604020202020204" pitchFamily="34" charset="0"/>
                <a:ea typeface="+mn-ea"/>
                <a:cs typeface="Arial" panose="020B0604020202020204" pitchFamily="34" charset="0"/>
              </a:defRPr>
            </a:pPr>
            <a:r>
              <a:rPr lang="en-US" b="1">
                <a:solidFill>
                  <a:srgbClr val="EAEAEA"/>
                </a:solidFill>
                <a:latin typeface="Arial" panose="020B0604020202020204" pitchFamily="34" charset="0"/>
                <a:cs typeface="Arial" panose="020B0604020202020204" pitchFamily="34" charset="0"/>
              </a:rPr>
              <a:t>Digital_Payments</a:t>
            </a:r>
            <a:r>
              <a:rPr lang="en-US" b="1" baseline="0">
                <a:solidFill>
                  <a:srgbClr val="EAEAEA"/>
                </a:solidFill>
                <a:latin typeface="Arial" panose="020B0604020202020204" pitchFamily="34" charset="0"/>
                <a:cs typeface="Arial" panose="020B0604020202020204" pitchFamily="34" charset="0"/>
              </a:rPr>
              <a:t> Adoption Trend </a:t>
            </a:r>
            <a:endParaRPr lang="en-US" b="1">
              <a:solidFill>
                <a:srgbClr val="EAEAEA"/>
              </a:solidFill>
              <a:latin typeface="Arial" panose="020B0604020202020204" pitchFamily="34" charset="0"/>
              <a:cs typeface="Arial" panose="020B0604020202020204" pitchFamily="34" charset="0"/>
            </a:endParaRPr>
          </a:p>
        </c:rich>
      </c:tx>
      <c:layout>
        <c:manualLayout>
          <c:xMode val="edge"/>
          <c:yMode val="edge"/>
          <c:x val="0.16721522309711287"/>
          <c:y val="6.94444444444444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AEAEA"/>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Analysis'!$B$47:$B$48</c:f>
              <c:strCache>
                <c:ptCount val="1"/>
                <c:pt idx="0">
                  <c:v>Egypt, Arab Rep</c:v>
                </c:pt>
              </c:strCache>
            </c:strRef>
          </c:tx>
          <c:spPr>
            <a:ln w="28575" cap="rnd">
              <a:solidFill>
                <a:srgbClr val="FF2E63"/>
              </a:solidFill>
              <a:round/>
            </a:ln>
            <a:effectLst/>
          </c:spPr>
          <c:marker>
            <c:symbol val="circle"/>
            <c:size val="5"/>
            <c:spPr>
              <a:noFill/>
              <a:ln w="50800">
                <a:solidFill>
                  <a:srgbClr val="FF2E63"/>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Analysis'!$B$49:$B$58</c:f>
              <c:numCache>
                <c:formatCode>General</c:formatCode>
                <c:ptCount val="10"/>
                <c:pt idx="2">
                  <c:v>1.6683175337813053E-2</c:v>
                </c:pt>
                <c:pt idx="6">
                  <c:v>1.6183336258612589E-2</c:v>
                </c:pt>
                <c:pt idx="9">
                  <c:v>0.30114029023832745</c:v>
                </c:pt>
              </c:numCache>
            </c:numRef>
          </c:val>
          <c:smooth val="0"/>
          <c:extLst>
            <c:ext xmlns:c16="http://schemas.microsoft.com/office/drawing/2014/chart" uri="{C3380CC4-5D6E-409C-BE32-E72D297353CC}">
              <c16:uniqueId val="{00000000-15C6-4278-AAE4-AE4671077D0D}"/>
            </c:ext>
          </c:extLst>
        </c:ser>
        <c:ser>
          <c:idx val="1"/>
          <c:order val="1"/>
          <c:tx>
            <c:strRef>
              <c:f>'Trend Analysis'!$C$47:$C$48</c:f>
              <c:strCache>
                <c:ptCount val="1"/>
                <c:pt idx="0">
                  <c:v>India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Analysis'!$C$49:$C$58</c:f>
              <c:numCache>
                <c:formatCode>General</c:formatCode>
                <c:ptCount val="10"/>
                <c:pt idx="2">
                  <c:v>3.9786186144369205E-2</c:v>
                </c:pt>
                <c:pt idx="6">
                  <c:v>0.17220947435042966</c:v>
                </c:pt>
                <c:pt idx="9">
                  <c:v>0.48589012585927788</c:v>
                </c:pt>
              </c:numCache>
            </c:numRef>
          </c:val>
          <c:smooth val="0"/>
          <c:extLst>
            <c:ext xmlns:c16="http://schemas.microsoft.com/office/drawing/2014/chart" uri="{C3380CC4-5D6E-409C-BE32-E72D297353CC}">
              <c16:uniqueId val="{00000001-FB08-4463-A602-5BA4D848FE0A}"/>
            </c:ext>
          </c:extLst>
        </c:ser>
        <c:ser>
          <c:idx val="2"/>
          <c:order val="2"/>
          <c:tx>
            <c:strRef>
              <c:f>'Trend Analysis'!$D$47:$D$48</c:f>
              <c:strCache>
                <c:ptCount val="1"/>
                <c:pt idx="0">
                  <c:v>Saudi Arabia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Analysis'!$D$49:$D$58</c:f>
              <c:numCache>
                <c:formatCode>General</c:formatCode>
                <c:ptCount val="10"/>
                <c:pt idx="2">
                  <c:v>0.41498030331004354</c:v>
                </c:pt>
                <c:pt idx="6">
                  <c:v>0.75041190041764538</c:v>
                </c:pt>
                <c:pt idx="9">
                  <c:v>0.85156351097590477</c:v>
                </c:pt>
              </c:numCache>
            </c:numRef>
          </c:val>
          <c:smooth val="0"/>
          <c:extLst>
            <c:ext xmlns:c16="http://schemas.microsoft.com/office/drawing/2014/chart" uri="{C3380CC4-5D6E-409C-BE32-E72D297353CC}">
              <c16:uniqueId val="{00000002-FB08-4463-A602-5BA4D848FE0A}"/>
            </c:ext>
          </c:extLst>
        </c:ser>
        <c:ser>
          <c:idx val="3"/>
          <c:order val="3"/>
          <c:tx>
            <c:strRef>
              <c:f>'Trend Analysis'!$E$47:$E$48</c:f>
              <c:strCache>
                <c:ptCount val="1"/>
                <c:pt idx="0">
                  <c:v>United Arab Emirates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Analysis'!$E$49:$E$58</c:f>
              <c:numCache>
                <c:formatCode>General</c:formatCode>
                <c:ptCount val="10"/>
                <c:pt idx="2">
                  <c:v>0.67466197065130418</c:v>
                </c:pt>
                <c:pt idx="6">
                  <c:v>0.45407506976999107</c:v>
                </c:pt>
              </c:numCache>
            </c:numRef>
          </c:val>
          <c:smooth val="0"/>
          <c:extLst>
            <c:ext xmlns:c16="http://schemas.microsoft.com/office/drawing/2014/chart" uri="{C3380CC4-5D6E-409C-BE32-E72D297353CC}">
              <c16:uniqueId val="{00000003-FB08-4463-A602-5BA4D848FE0A}"/>
            </c:ext>
          </c:extLst>
        </c:ser>
        <c:ser>
          <c:idx val="4"/>
          <c:order val="4"/>
          <c:tx>
            <c:strRef>
              <c:f>'Trend Analysis'!$F$47:$F$48</c:f>
              <c:strCache>
                <c:ptCount val="1"/>
                <c:pt idx="0">
                  <c:v>United Kingdom</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Analysis'!$A$49:$A$58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Analysis'!$F$49:$F$58</c:f>
              <c:numCache>
                <c:formatCode>General</c:formatCode>
                <c:ptCount val="10"/>
                <c:pt idx="2">
                  <c:v>0.65162195007282275</c:v>
                </c:pt>
                <c:pt idx="6">
                  <c:v>0.61909371686719228</c:v>
                </c:pt>
              </c:numCache>
            </c:numRef>
          </c:val>
          <c:smooth val="0"/>
          <c:extLst>
            <c:ext xmlns:c16="http://schemas.microsoft.com/office/drawing/2014/chart" uri="{C3380CC4-5D6E-409C-BE32-E72D297353CC}">
              <c16:uniqueId val="{00000004-FB08-4463-A602-5BA4D848FE0A}"/>
            </c:ext>
          </c:extLst>
        </c:ser>
        <c:dLbls>
          <c:showLegendKey val="0"/>
          <c:showVal val="0"/>
          <c:showCatName val="0"/>
          <c:showSerName val="0"/>
          <c:showPercent val="0"/>
          <c:showBubbleSize val="0"/>
        </c:dLbls>
        <c:marker val="1"/>
        <c:smooth val="0"/>
        <c:axId val="415203327"/>
        <c:axId val="415210047"/>
      </c:lineChart>
      <c:catAx>
        <c:axId val="415203327"/>
        <c:scaling>
          <c:orientation val="minMax"/>
        </c:scaling>
        <c:delete val="0"/>
        <c:axPos val="b"/>
        <c:numFmt formatCode="General" sourceLinked="1"/>
        <c:majorTickMark val="none"/>
        <c:minorTickMark val="out"/>
        <c:tickLblPos val="nextTo"/>
        <c:spPr>
          <a:noFill/>
          <a:ln w="9525" cap="flat" cmpd="sng" algn="ctr">
            <a:solidFill>
              <a:srgbClr val="FF2E63"/>
            </a:solidFill>
            <a:round/>
          </a:ln>
          <a:effectLst/>
        </c:spPr>
        <c:txPr>
          <a:bodyPr rot="-5400000" spcFirstLastPara="1" vertOverflow="ellipsis"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15210047"/>
        <c:crosses val="autoZero"/>
        <c:auto val="1"/>
        <c:lblAlgn val="ctr"/>
        <c:lblOffset val="100"/>
        <c:noMultiLvlLbl val="0"/>
      </c:catAx>
      <c:valAx>
        <c:axId val="41521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15203327"/>
        <c:crosses val="autoZero"/>
        <c:crossBetween val="between"/>
      </c:valAx>
      <c:spPr>
        <a:noFill/>
        <a:ln>
          <a:noFill/>
        </a:ln>
        <a:effectLst/>
      </c:spPr>
    </c:plotArea>
    <c:legend>
      <c:legendPos val="r"/>
      <c:layout>
        <c:manualLayout>
          <c:xMode val="edge"/>
          <c:yMode val="edge"/>
          <c:x val="0.69480468066491696"/>
          <c:y val="0.32218722659667537"/>
          <c:w val="0.30519521802818839"/>
          <c:h val="0.369202026829979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A3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.xlsx]Trend Analysis!PivotTable1</c:name>
    <c:fmtId val="7"/>
  </c:pivotSource>
  <c:chart>
    <c:title>
      <c:tx>
        <c:rich>
          <a:bodyPr rot="0" spcFirstLastPara="1" vertOverflow="ellipsis" vert="horz" wrap="square" anchor="ctr" anchorCtr="1"/>
          <a:lstStyle/>
          <a:p>
            <a:pPr>
              <a:defRPr sz="1400" b="1" i="0" u="none" strike="noStrike" kern="1200" spc="0" baseline="0">
                <a:solidFill>
                  <a:srgbClr val="EAEAEA"/>
                </a:solidFill>
                <a:latin typeface="Arial" panose="020B0604020202020204" pitchFamily="34" charset="0"/>
                <a:ea typeface="+mn-ea"/>
                <a:cs typeface="Arial" panose="020B0604020202020204" pitchFamily="34" charset="0"/>
              </a:defRPr>
            </a:pPr>
            <a:r>
              <a:rPr lang="en-US" b="1">
                <a:solidFill>
                  <a:srgbClr val="EAEAEA"/>
                </a:solidFill>
                <a:latin typeface="Arial" panose="020B0604020202020204" pitchFamily="34" charset="0"/>
                <a:cs typeface="Arial" panose="020B0604020202020204" pitchFamily="34" charset="0"/>
              </a:rPr>
              <a:t>E_GOV Development Trend </a:t>
            </a:r>
          </a:p>
        </c:rich>
      </c:tx>
      <c:layout>
        <c:manualLayout>
          <c:xMode val="edge"/>
          <c:yMode val="edge"/>
          <c:x val="0.25244809515089683"/>
          <c:y val="7.31595793324188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AEAEA"/>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rgbClr val="FF2E63"/>
            </a:solidFill>
            <a:round/>
          </a:ln>
          <a:effectLst/>
        </c:spPr>
        <c:marker>
          <c:symbol val="circle"/>
          <c:size val="5"/>
          <c:spPr>
            <a:noFill/>
            <a:ln w="5715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2E63"/>
            </a:solidFill>
            <a:round/>
          </a:ln>
          <a:effectLst/>
        </c:spPr>
        <c:marker>
          <c:symbol val="circle"/>
          <c:size val="5"/>
          <c:spPr>
            <a:noFill/>
            <a:ln w="5715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09920634920656E-2"/>
          <c:y val="0.1657291295378201"/>
          <c:w val="0.59377362985876769"/>
          <c:h val="0.67525535645492873"/>
        </c:manualLayout>
      </c:layout>
      <c:lineChart>
        <c:grouping val="standard"/>
        <c:varyColors val="0"/>
        <c:ser>
          <c:idx val="0"/>
          <c:order val="0"/>
          <c:tx>
            <c:strRef>
              <c:f>'Trend Analysis'!$B$10:$B$11</c:f>
              <c:strCache>
                <c:ptCount val="1"/>
                <c:pt idx="0">
                  <c:v>Egypt, Arab Rep</c:v>
                </c:pt>
              </c:strCache>
            </c:strRef>
          </c:tx>
          <c:spPr>
            <a:ln w="28575" cap="rnd">
              <a:solidFill>
                <a:srgbClr val="FF2E63"/>
              </a:solidFill>
              <a:round/>
            </a:ln>
            <a:effectLst/>
          </c:spPr>
          <c:marker>
            <c:symbol val="circle"/>
            <c:size val="5"/>
            <c:spPr>
              <a:noFill/>
              <a:ln w="57150">
                <a:solidFill>
                  <a:srgbClr val="FF2E63"/>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Analysis'!$B$12:$B$21</c:f>
              <c:numCache>
                <c:formatCode>General</c:formatCode>
                <c:ptCount val="10"/>
                <c:pt idx="1">
                  <c:v>0.45940999999999993</c:v>
                </c:pt>
                <c:pt idx="3">
                  <c:v>0.48803333333333332</c:v>
                </c:pt>
                <c:pt idx="5">
                  <c:v>0.55269999999999997</c:v>
                </c:pt>
                <c:pt idx="7">
                  <c:v>0.58946666666666669</c:v>
                </c:pt>
                <c:pt idx="9">
                  <c:v>0.6699166666666666</c:v>
                </c:pt>
              </c:numCache>
            </c:numRef>
          </c:val>
          <c:smooth val="0"/>
          <c:extLst>
            <c:ext xmlns:c16="http://schemas.microsoft.com/office/drawing/2014/chart" uri="{C3380CC4-5D6E-409C-BE32-E72D297353CC}">
              <c16:uniqueId val="{00000000-0D41-4104-ABAF-BB3A32EA19C0}"/>
            </c:ext>
          </c:extLst>
        </c:ser>
        <c:ser>
          <c:idx val="1"/>
          <c:order val="1"/>
          <c:tx>
            <c:strRef>
              <c:f>'Trend Analysis'!$C$10:$C$11</c:f>
              <c:strCache>
                <c:ptCount val="1"/>
                <c:pt idx="0">
                  <c:v>India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Analysis'!$C$12:$C$21</c:f>
              <c:numCache>
                <c:formatCode>General</c:formatCode>
                <c:ptCount val="10"/>
                <c:pt idx="1">
                  <c:v>0.46374999999999994</c:v>
                </c:pt>
                <c:pt idx="3">
                  <c:v>0.56690000000000007</c:v>
                </c:pt>
                <c:pt idx="5">
                  <c:v>0.59639999999999993</c:v>
                </c:pt>
                <c:pt idx="7">
                  <c:v>0.58829999999999993</c:v>
                </c:pt>
                <c:pt idx="9">
                  <c:v>0.66777666666666669</c:v>
                </c:pt>
              </c:numCache>
            </c:numRef>
          </c:val>
          <c:smooth val="0"/>
          <c:extLst>
            <c:ext xmlns:c16="http://schemas.microsoft.com/office/drawing/2014/chart" uri="{C3380CC4-5D6E-409C-BE32-E72D297353CC}">
              <c16:uniqueId val="{00000000-838E-4AB1-8236-1971AEEC1483}"/>
            </c:ext>
          </c:extLst>
        </c:ser>
        <c:ser>
          <c:idx val="2"/>
          <c:order val="2"/>
          <c:tx>
            <c:strRef>
              <c:f>'Trend Analysis'!$D$10:$D$11</c:f>
              <c:strCache>
                <c:ptCount val="1"/>
                <c:pt idx="0">
                  <c:v>Saudi Arabia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Analysis'!$D$12:$D$21</c:f>
              <c:numCache>
                <c:formatCode>General</c:formatCode>
                <c:ptCount val="10"/>
                <c:pt idx="1">
                  <c:v>0.68223666666666671</c:v>
                </c:pt>
                <c:pt idx="3">
                  <c:v>0.71189999999999998</c:v>
                </c:pt>
                <c:pt idx="5">
                  <c:v>0.79906666666666659</c:v>
                </c:pt>
                <c:pt idx="7">
                  <c:v>0.85389999999999999</c:v>
                </c:pt>
                <c:pt idx="9">
                  <c:v>0.96024000000000009</c:v>
                </c:pt>
              </c:numCache>
            </c:numRef>
          </c:val>
          <c:smooth val="0"/>
          <c:extLst>
            <c:ext xmlns:c16="http://schemas.microsoft.com/office/drawing/2014/chart" uri="{C3380CC4-5D6E-409C-BE32-E72D297353CC}">
              <c16:uniqueId val="{00000001-838E-4AB1-8236-1971AEEC1483}"/>
            </c:ext>
          </c:extLst>
        </c:ser>
        <c:ser>
          <c:idx val="3"/>
          <c:order val="3"/>
          <c:tx>
            <c:strRef>
              <c:f>'Trend Analysis'!$E$10:$E$11</c:f>
              <c:strCache>
                <c:ptCount val="1"/>
                <c:pt idx="0">
                  <c:v>United Arab Emirates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Analysis'!$E$12:$E$21</c:f>
              <c:numCache>
                <c:formatCode>General</c:formatCode>
                <c:ptCount val="10"/>
                <c:pt idx="1">
                  <c:v>0.75152999999999992</c:v>
                </c:pt>
                <c:pt idx="3">
                  <c:v>0.82950000000000002</c:v>
                </c:pt>
                <c:pt idx="5">
                  <c:v>0.8554666666666666</c:v>
                </c:pt>
                <c:pt idx="7">
                  <c:v>0.90103333333333335</c:v>
                </c:pt>
                <c:pt idx="9">
                  <c:v>0.95327333333333331</c:v>
                </c:pt>
              </c:numCache>
            </c:numRef>
          </c:val>
          <c:smooth val="0"/>
          <c:extLst>
            <c:ext xmlns:c16="http://schemas.microsoft.com/office/drawing/2014/chart" uri="{C3380CC4-5D6E-409C-BE32-E72D297353CC}">
              <c16:uniqueId val="{00000002-838E-4AB1-8236-1971AEEC1483}"/>
            </c:ext>
          </c:extLst>
        </c:ser>
        <c:ser>
          <c:idx val="4"/>
          <c:order val="4"/>
          <c:tx>
            <c:strRef>
              <c:f>'Trend Analysis'!$F$10:$F$11</c:f>
              <c:strCache>
                <c:ptCount val="1"/>
                <c:pt idx="0">
                  <c:v>United Kingdom</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Analysis'!$A$12:$A$21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Analysis'!$F$12:$F$21</c:f>
              <c:numCache>
                <c:formatCode>General</c:formatCode>
                <c:ptCount val="10"/>
                <c:pt idx="1">
                  <c:v>0.91927999999999999</c:v>
                </c:pt>
                <c:pt idx="3">
                  <c:v>0.89986666666666659</c:v>
                </c:pt>
                <c:pt idx="5">
                  <c:v>0.93583333333333341</c:v>
                </c:pt>
                <c:pt idx="7">
                  <c:v>0.91380000000000006</c:v>
                </c:pt>
                <c:pt idx="9">
                  <c:v>0.95771333333333342</c:v>
                </c:pt>
              </c:numCache>
            </c:numRef>
          </c:val>
          <c:smooth val="0"/>
          <c:extLst>
            <c:ext xmlns:c16="http://schemas.microsoft.com/office/drawing/2014/chart" uri="{C3380CC4-5D6E-409C-BE32-E72D297353CC}">
              <c16:uniqueId val="{00000003-838E-4AB1-8236-1971AEEC1483}"/>
            </c:ext>
          </c:extLst>
        </c:ser>
        <c:dLbls>
          <c:showLegendKey val="0"/>
          <c:showVal val="0"/>
          <c:showCatName val="0"/>
          <c:showSerName val="0"/>
          <c:showPercent val="0"/>
          <c:showBubbleSize val="0"/>
        </c:dLbls>
        <c:marker val="1"/>
        <c:smooth val="0"/>
        <c:axId val="449987839"/>
        <c:axId val="449974399"/>
      </c:lineChart>
      <c:catAx>
        <c:axId val="449987839"/>
        <c:scaling>
          <c:orientation val="minMax"/>
        </c:scaling>
        <c:delete val="0"/>
        <c:axPos val="b"/>
        <c:numFmt formatCode="General" sourceLinked="1"/>
        <c:majorTickMark val="none"/>
        <c:minorTickMark val="out"/>
        <c:tickLblPos val="nextTo"/>
        <c:spPr>
          <a:noFill/>
          <a:ln w="0" cap="rnd" cmpd="sng" algn="ctr">
            <a:solidFill>
              <a:srgbClr val="FF2E63"/>
            </a:solidFill>
            <a:round/>
          </a:ln>
          <a:effectLst/>
        </c:spPr>
        <c:txPr>
          <a:bodyPr rot="-5400000" spcFirstLastPara="1" vertOverflow="ellipsis"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49974399"/>
        <c:crosses val="autoZero"/>
        <c:auto val="1"/>
        <c:lblAlgn val="ctr"/>
        <c:lblOffset val="100"/>
        <c:noMultiLvlLbl val="0"/>
      </c:catAx>
      <c:valAx>
        <c:axId val="4499743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49987839"/>
        <c:crosses val="autoZero"/>
        <c:crossBetween val="between"/>
      </c:valAx>
      <c:spPr>
        <a:noFill/>
        <a:ln>
          <a:noFill/>
        </a:ln>
        <a:effectLst/>
      </c:spPr>
    </c:plotArea>
    <c:legend>
      <c:legendPos val="r"/>
      <c:layout>
        <c:manualLayout>
          <c:xMode val="edge"/>
          <c:yMode val="edge"/>
          <c:x val="0.71346609017622786"/>
          <c:y val="0.37506237646220147"/>
          <c:w val="0.25857661370680846"/>
          <c:h val="7.292879542320585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A3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.xlsx]Trend Analysis!PivotTable4</c:name>
    <c:fmtId val="4"/>
  </c:pivotSource>
  <c:chart>
    <c:title>
      <c:tx>
        <c:rich>
          <a:bodyPr rot="0" spcFirstLastPara="1" vertOverflow="ellipsis" vert="horz" wrap="square" anchor="ctr" anchorCtr="1"/>
          <a:lstStyle/>
          <a:p>
            <a:pPr>
              <a:defRPr sz="1400" b="1" i="0" u="none" strike="noStrike" kern="1200" spc="0" baseline="0">
                <a:solidFill>
                  <a:srgbClr val="EAEAEA"/>
                </a:solidFill>
                <a:latin typeface="Arial" panose="020B0604020202020204" pitchFamily="34" charset="0"/>
                <a:ea typeface="+mn-ea"/>
                <a:cs typeface="Arial" panose="020B0604020202020204" pitchFamily="34" charset="0"/>
              </a:defRPr>
            </a:pPr>
            <a:r>
              <a:rPr lang="en-US" b="1">
                <a:solidFill>
                  <a:srgbClr val="EAEAEA"/>
                </a:solidFill>
                <a:latin typeface="Arial" panose="020B0604020202020204" pitchFamily="34" charset="0"/>
                <a:cs typeface="Arial" panose="020B0604020202020204" pitchFamily="34" charset="0"/>
              </a:rPr>
              <a:t>Financial Inclusion Trend </a:t>
            </a:r>
          </a:p>
        </c:rich>
      </c:tx>
      <c:layout>
        <c:manualLayout>
          <c:xMode val="edge"/>
          <c:yMode val="edge"/>
          <c:x val="0.17893744531933509"/>
          <c:y val="6.48148148148148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AEAEA"/>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2E63"/>
            </a:solidFill>
            <a:round/>
          </a:ln>
          <a:effectLst/>
        </c:spPr>
        <c:marker>
          <c:symbol val="circle"/>
          <c:size val="5"/>
          <c:spPr>
            <a:noFill/>
            <a:ln w="50800">
              <a:solidFill>
                <a:srgbClr val="FF2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Analysis'!$B$68:$B$69</c:f>
              <c:strCache>
                <c:ptCount val="1"/>
                <c:pt idx="0">
                  <c:v>Egypt, Arab Rep</c:v>
                </c:pt>
              </c:strCache>
            </c:strRef>
          </c:tx>
          <c:spPr>
            <a:ln w="28575" cap="rnd">
              <a:solidFill>
                <a:srgbClr val="FF2E63"/>
              </a:solidFill>
              <a:round/>
            </a:ln>
            <a:effectLst/>
          </c:spPr>
          <c:marker>
            <c:symbol val="circle"/>
            <c:size val="5"/>
            <c:spPr>
              <a:noFill/>
              <a:ln w="50800">
                <a:solidFill>
                  <a:srgbClr val="FF2E63"/>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Analysis'!$B$70:$B$79</c:f>
              <c:numCache>
                <c:formatCode>General</c:formatCode>
                <c:ptCount val="10"/>
                <c:pt idx="2">
                  <c:v>5.4432523000447652E-2</c:v>
                </c:pt>
                <c:pt idx="6">
                  <c:v>0</c:v>
                </c:pt>
                <c:pt idx="9">
                  <c:v>0.13578433676959406</c:v>
                </c:pt>
              </c:numCache>
            </c:numRef>
          </c:val>
          <c:smooth val="0"/>
          <c:extLst>
            <c:ext xmlns:c16="http://schemas.microsoft.com/office/drawing/2014/chart" uri="{C3380CC4-5D6E-409C-BE32-E72D297353CC}">
              <c16:uniqueId val="{00000000-D82B-4EDC-A6AE-3FA951F82670}"/>
            </c:ext>
          </c:extLst>
        </c:ser>
        <c:ser>
          <c:idx val="1"/>
          <c:order val="1"/>
          <c:tx>
            <c:strRef>
              <c:f>'Trend Analysis'!$C$68:$C$69</c:f>
              <c:strCache>
                <c:ptCount val="1"/>
                <c:pt idx="0">
                  <c:v>India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Analysis'!$C$70:$C$79</c:f>
              <c:numCache>
                <c:formatCode>General</c:formatCode>
                <c:ptCount val="10"/>
                <c:pt idx="2">
                  <c:v>0.43294951917008317</c:v>
                </c:pt>
                <c:pt idx="6">
                  <c:v>0.40404786938706871</c:v>
                </c:pt>
                <c:pt idx="9">
                  <c:v>0.54148203556132302</c:v>
                </c:pt>
              </c:numCache>
            </c:numRef>
          </c:val>
          <c:smooth val="0"/>
          <c:extLst>
            <c:ext xmlns:c16="http://schemas.microsoft.com/office/drawing/2014/chart" uri="{C3380CC4-5D6E-409C-BE32-E72D297353CC}">
              <c16:uniqueId val="{00000001-9391-48C9-A757-6DE70FD607D5}"/>
            </c:ext>
          </c:extLst>
        </c:ser>
        <c:ser>
          <c:idx val="2"/>
          <c:order val="2"/>
          <c:tx>
            <c:strRef>
              <c:f>'Trend Analysis'!$D$68:$D$69</c:f>
              <c:strCache>
                <c:ptCount val="1"/>
                <c:pt idx="0">
                  <c:v>Saudi Arabia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Analysis'!$D$70:$D$79</c:f>
              <c:numCache>
                <c:formatCode>General</c:formatCode>
                <c:ptCount val="10"/>
                <c:pt idx="2">
                  <c:v>0.41077560303477711</c:v>
                </c:pt>
                <c:pt idx="6">
                  <c:v>0.56615914602037831</c:v>
                </c:pt>
                <c:pt idx="9">
                  <c:v>0.59540687184492658</c:v>
                </c:pt>
              </c:numCache>
            </c:numRef>
          </c:val>
          <c:smooth val="0"/>
          <c:extLst>
            <c:ext xmlns:c16="http://schemas.microsoft.com/office/drawing/2014/chart" uri="{C3380CC4-5D6E-409C-BE32-E72D297353CC}">
              <c16:uniqueId val="{00000002-9391-48C9-A757-6DE70FD607D5}"/>
            </c:ext>
          </c:extLst>
        </c:ser>
        <c:ser>
          <c:idx val="3"/>
          <c:order val="3"/>
          <c:tx>
            <c:strRef>
              <c:f>'Trend Analysis'!$E$68:$E$69</c:f>
              <c:strCache>
                <c:ptCount val="1"/>
                <c:pt idx="0">
                  <c:v>United Arab Emirates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Analysis'!$E$70:$E$79</c:f>
              <c:numCache>
                <c:formatCode>General</c:formatCode>
                <c:ptCount val="10"/>
                <c:pt idx="2">
                  <c:v>0.69352778827828487</c:v>
                </c:pt>
                <c:pt idx="6">
                  <c:v>0.49719935781684887</c:v>
                </c:pt>
              </c:numCache>
            </c:numRef>
          </c:val>
          <c:smooth val="0"/>
          <c:extLst>
            <c:ext xmlns:c16="http://schemas.microsoft.com/office/drawing/2014/chart" uri="{C3380CC4-5D6E-409C-BE32-E72D297353CC}">
              <c16:uniqueId val="{00000003-9391-48C9-A757-6DE70FD607D5}"/>
            </c:ext>
          </c:extLst>
        </c:ser>
        <c:ser>
          <c:idx val="4"/>
          <c:order val="4"/>
          <c:tx>
            <c:strRef>
              <c:f>'Trend Analysis'!$F$68:$F$69</c:f>
              <c:strCache>
                <c:ptCount val="1"/>
                <c:pt idx="0">
                  <c:v>United Kingdom</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Analysis'!$A$70:$A$79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'Trend Analysis'!$F$70:$F$79</c:f>
              <c:numCache>
                <c:formatCode>General</c:formatCode>
                <c:ptCount val="10"/>
                <c:pt idx="2">
                  <c:v>0.97651417755760028</c:v>
                </c:pt>
                <c:pt idx="6">
                  <c:v>0.94625136420796618</c:v>
                </c:pt>
              </c:numCache>
            </c:numRef>
          </c:val>
          <c:smooth val="0"/>
          <c:extLst>
            <c:ext xmlns:c16="http://schemas.microsoft.com/office/drawing/2014/chart" uri="{C3380CC4-5D6E-409C-BE32-E72D297353CC}">
              <c16:uniqueId val="{00000004-9391-48C9-A757-6DE70FD607D5}"/>
            </c:ext>
          </c:extLst>
        </c:ser>
        <c:dLbls>
          <c:showLegendKey val="0"/>
          <c:showVal val="0"/>
          <c:showCatName val="0"/>
          <c:showSerName val="0"/>
          <c:showPercent val="0"/>
          <c:showBubbleSize val="0"/>
        </c:dLbls>
        <c:marker val="1"/>
        <c:smooth val="0"/>
        <c:axId val="449897599"/>
        <c:axId val="449893279"/>
      </c:lineChart>
      <c:catAx>
        <c:axId val="449897599"/>
        <c:scaling>
          <c:orientation val="minMax"/>
        </c:scaling>
        <c:delete val="0"/>
        <c:axPos val="b"/>
        <c:numFmt formatCode="General" sourceLinked="1"/>
        <c:majorTickMark val="none"/>
        <c:minorTickMark val="out"/>
        <c:tickLblPos val="nextTo"/>
        <c:spPr>
          <a:noFill/>
          <a:ln w="9525" cap="flat" cmpd="sng" algn="ctr">
            <a:solidFill>
              <a:srgbClr val="FF2E63"/>
            </a:solidFill>
            <a:round/>
          </a:ln>
          <a:effectLst/>
        </c:spPr>
        <c:txPr>
          <a:bodyPr rot="-5400000" spcFirstLastPara="1" vertOverflow="ellipsis"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49893279"/>
        <c:crosses val="autoZero"/>
        <c:auto val="1"/>
        <c:lblAlgn val="ctr"/>
        <c:lblOffset val="100"/>
        <c:noMultiLvlLbl val="0"/>
      </c:catAx>
      <c:valAx>
        <c:axId val="44989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449897599"/>
        <c:crosses val="autoZero"/>
        <c:crossBetween val="between"/>
      </c:valAx>
      <c:spPr>
        <a:noFill/>
        <a:ln>
          <a:noFill/>
        </a:ln>
        <a:effectLst/>
      </c:spPr>
    </c:plotArea>
    <c:legend>
      <c:legendPos val="r"/>
      <c:layout>
        <c:manualLayout>
          <c:xMode val="edge"/>
          <c:yMode val="edge"/>
          <c:x val="0.6989713473315835"/>
          <c:y val="0.36507946923301254"/>
          <c:w val="0.3010287089520976"/>
          <c:h val="0.369202026829979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A3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.xlsx]DT Components 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solidFill>
                  <a:srgbClr val="08D9D6"/>
                </a:solidFill>
                <a:latin typeface="Arial" panose="020B0604020202020204" pitchFamily="34" charset="0"/>
                <a:cs typeface="Arial" panose="020B0604020202020204" pitchFamily="34" charset="0"/>
              </a:rPr>
              <a:t>E-Government Performance Across</a:t>
            </a:r>
            <a:r>
              <a:rPr lang="en-US" b="1" baseline="0">
                <a:solidFill>
                  <a:srgbClr val="08D9D6"/>
                </a:solidFill>
                <a:latin typeface="Arial" panose="020B0604020202020204" pitchFamily="34" charset="0"/>
                <a:cs typeface="Arial" panose="020B0604020202020204" pitchFamily="34" charset="0"/>
              </a:rPr>
              <a:t> Countries</a:t>
            </a:r>
            <a:endParaRPr lang="en-US" b="1">
              <a:solidFill>
                <a:srgbClr val="08D9D6"/>
              </a:solidFill>
              <a:latin typeface="Arial" panose="020B0604020202020204" pitchFamily="34" charset="0"/>
              <a:cs typeface="Arial" panose="020B0604020202020204" pitchFamily="34" charset="0"/>
            </a:endParaRPr>
          </a:p>
        </c:rich>
      </c:tx>
      <c:layout>
        <c:manualLayout>
          <c:xMode val="edge"/>
          <c:yMode val="edge"/>
          <c:x val="0.3115497356797024"/>
          <c:y val="3.07515757610590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08D9D6"/>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2E6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2E6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'DT Components Analysis'!$B$3</c:f>
              <c:strCache>
                <c:ptCount val="1"/>
                <c:pt idx="0">
                  <c:v>Total</c:v>
                </c:pt>
              </c:strCache>
            </c:strRef>
          </c:tx>
          <c:spPr>
            <a:solidFill>
              <a:srgbClr val="FF2E6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'DT Components Analysis'!$A$4:$A$8</c:f>
              <c:strCache>
                <c:ptCount val="5"/>
                <c:pt idx="0">
                  <c:v>United Kingdom</c:v>
                </c:pt>
                <c:pt idx="1">
                  <c:v>United Arab Emirates</c:v>
                </c:pt>
                <c:pt idx="2">
                  <c:v>Saudi Arabia</c:v>
                </c:pt>
                <c:pt idx="3">
                  <c:v>India</c:v>
                </c:pt>
                <c:pt idx="4">
                  <c:v>Egypt, Arab Rep</c:v>
                </c:pt>
              </c:strCache>
            </c:strRef>
          </c:cat>
          <c:val>
            <c:numRef>
              <c:f>'DT Components Analysis'!$B$4:$B$8</c:f>
              <c:numCache>
                <c:formatCode>General</c:formatCode>
                <c:ptCount val="5"/>
                <c:pt idx="0">
                  <c:v>0.92529866666666682</c:v>
                </c:pt>
                <c:pt idx="1">
                  <c:v>0.85816066666666679</c:v>
                </c:pt>
                <c:pt idx="2">
                  <c:v>0.80146866666666661</c:v>
                </c:pt>
                <c:pt idx="3">
                  <c:v>0.57662533333333332</c:v>
                </c:pt>
                <c:pt idx="4">
                  <c:v>0.55190533333333336</c:v>
                </c:pt>
              </c:numCache>
            </c:numRef>
          </c:val>
          <c:extLst>
            <c:ext xmlns:c16="http://schemas.microsoft.com/office/drawing/2014/chart" uri="{C3380CC4-5D6E-409C-BE32-E72D297353CC}">
              <c16:uniqueId val="{00000000-C052-4AFB-BFFB-4B17DC175DBC}"/>
            </c:ext>
          </c:extLst>
        </c:ser>
        <c:dLbls>
          <c:dLblPos val="outEnd"/>
          <c:showLegendKey val="0"/>
          <c:showVal val="1"/>
          <c:showCatName val="0"/>
          <c:showSerName val="0"/>
          <c:showPercent val="0"/>
          <c:showBubbleSize val="0"/>
        </c:dLbls>
        <c:gapWidth val="219"/>
        <c:overlap val="-27"/>
        <c:axId val="1195395263"/>
        <c:axId val="1195397663"/>
      </c:barChart>
      <c:catAx>
        <c:axId val="1195395263"/>
        <c:scaling>
          <c:orientation val="minMax"/>
        </c:scaling>
        <c:delete val="0"/>
        <c:axPos val="b"/>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195397663"/>
        <c:crosses val="autoZero"/>
        <c:auto val="1"/>
        <c:lblAlgn val="ctr"/>
        <c:lblOffset val="100"/>
        <c:noMultiLvlLbl val="0"/>
      </c:catAx>
      <c:valAx>
        <c:axId val="1195397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19539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.xlsx]DT Components Analysis!PivotTable2</c:name>
    <c:fmtId val="1"/>
  </c:pivotSource>
  <c:chart>
    <c:title>
      <c:tx>
        <c:rich>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r>
              <a:rPr lang="en-US" b="1">
                <a:solidFill>
                  <a:srgbClr val="08D9D6"/>
                </a:solidFill>
                <a:latin typeface="Arial" panose="020B0604020202020204" pitchFamily="34" charset="0"/>
                <a:cs typeface="Arial" panose="020B0604020202020204" pitchFamily="34" charset="0"/>
              </a:rPr>
              <a:t>Internet Penetration Across Countries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8D9D6"/>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2E6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AEAE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EAEA"/>
          </a:solidFill>
          <a:ln>
            <a:noFill/>
          </a:ln>
          <a:effectLst/>
        </c:spPr>
        <c:dLbl>
          <c:idx val="0"/>
          <c:layout>
            <c:manualLayout>
              <c:x val="8.3333333333333332E-3"/>
              <c:y val="1.851851851851851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86482939632541E-2"/>
          <c:y val="0.24166666666666667"/>
          <c:w val="0.56878018372703409"/>
          <c:h val="0.56078594342373866"/>
        </c:manualLayout>
      </c:layout>
      <c:barChart>
        <c:barDir val="col"/>
        <c:grouping val="clustered"/>
        <c:varyColors val="0"/>
        <c:ser>
          <c:idx val="0"/>
          <c:order val="0"/>
          <c:tx>
            <c:strRef>
              <c:f>'DT Components Analysis'!$B$29</c:f>
              <c:strCache>
                <c:ptCount val="1"/>
                <c:pt idx="0">
                  <c:v>Total</c:v>
                </c:pt>
              </c:strCache>
            </c:strRef>
          </c:tx>
          <c:spPr>
            <a:solidFill>
              <a:srgbClr val="FF2E6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'DT Components Analysis'!$A$30:$A$34</c:f>
              <c:strCache>
                <c:ptCount val="5"/>
                <c:pt idx="0">
                  <c:v>United Arab Emirates</c:v>
                </c:pt>
                <c:pt idx="1">
                  <c:v>United Kingdom</c:v>
                </c:pt>
                <c:pt idx="2">
                  <c:v>Saudi Arabia</c:v>
                </c:pt>
                <c:pt idx="3">
                  <c:v>Egypt, Arab Rep</c:v>
                </c:pt>
                <c:pt idx="4">
                  <c:v>India</c:v>
                </c:pt>
              </c:strCache>
            </c:strRef>
          </c:cat>
          <c:val>
            <c:numRef>
              <c:f>'DT Components Analysis'!$B$30:$B$34</c:f>
              <c:numCache>
                <c:formatCode>General</c:formatCode>
                <c:ptCount val="5"/>
                <c:pt idx="0">
                  <c:v>0.7811435803941732</c:v>
                </c:pt>
                <c:pt idx="1">
                  <c:v>0.71956197733965033</c:v>
                </c:pt>
                <c:pt idx="2">
                  <c:v>0.62023636726797782</c:v>
                </c:pt>
                <c:pt idx="3">
                  <c:v>0.39369679602195673</c:v>
                </c:pt>
                <c:pt idx="4">
                  <c:v>0.25607790052795187</c:v>
                </c:pt>
              </c:numCache>
            </c:numRef>
          </c:val>
          <c:extLst>
            <c:ext xmlns:c16="http://schemas.microsoft.com/office/drawing/2014/chart" uri="{C3380CC4-5D6E-409C-BE32-E72D297353CC}">
              <c16:uniqueId val="{00000000-CB0E-4356-9915-8FBA919049A5}"/>
            </c:ext>
          </c:extLst>
        </c:ser>
        <c:dLbls>
          <c:dLblPos val="outEnd"/>
          <c:showLegendKey val="0"/>
          <c:showVal val="1"/>
          <c:showCatName val="0"/>
          <c:showSerName val="0"/>
          <c:showPercent val="0"/>
          <c:showBubbleSize val="0"/>
        </c:dLbls>
        <c:gapWidth val="219"/>
        <c:overlap val="-27"/>
        <c:axId val="2128318543"/>
        <c:axId val="2128319023"/>
      </c:barChart>
      <c:catAx>
        <c:axId val="2128318543"/>
        <c:scaling>
          <c:orientation val="minMax"/>
        </c:scaling>
        <c:delete val="0"/>
        <c:axPos val="b"/>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2128319023"/>
        <c:crosses val="autoZero"/>
        <c:auto val="1"/>
        <c:lblAlgn val="ctr"/>
        <c:lblOffset val="100"/>
        <c:noMultiLvlLbl val="0"/>
      </c:catAx>
      <c:valAx>
        <c:axId val="2128319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EAEAEA"/>
                </a:solidFill>
                <a:latin typeface="+mn-lt"/>
                <a:ea typeface="+mn-ea"/>
                <a:cs typeface="+mn-cs"/>
              </a:defRPr>
            </a:pPr>
            <a:endParaRPr lang="en-US"/>
          </a:p>
        </c:txPr>
        <c:crossAx val="212831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.xlsx]DT Components Analysis!PivotTable3</c:name>
    <c:fmtId val="14"/>
  </c:pivotSource>
  <c:chart>
    <c:title>
      <c:tx>
        <c:rich>
          <a:bodyPr rot="0" spcFirstLastPara="1" vertOverflow="ellipsis" vert="horz" wrap="square" anchor="ctr" anchorCtr="1"/>
          <a:lstStyle/>
          <a:p>
            <a:pPr>
              <a:defRPr sz="1400" b="0" i="0" u="none" strike="noStrike" kern="1200" spc="0" baseline="0">
                <a:solidFill>
                  <a:srgbClr val="08D9D6"/>
                </a:solidFill>
                <a:latin typeface="Arial" panose="020B0604020202020204" pitchFamily="34" charset="0"/>
                <a:ea typeface="+mn-ea"/>
                <a:cs typeface="Arial" panose="020B0604020202020204" pitchFamily="34" charset="0"/>
              </a:defRPr>
            </a:pPr>
            <a:r>
              <a:rPr lang="en-US">
                <a:solidFill>
                  <a:srgbClr val="08D9D6"/>
                </a:solidFill>
                <a:latin typeface="Arial" panose="020B0604020202020204" pitchFamily="34" charset="0"/>
                <a:cs typeface="Arial" panose="020B0604020202020204" pitchFamily="34" charset="0"/>
              </a:rPr>
              <a:t>Overall Digital Transformation Ranking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D9D6"/>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'DT Components Analysis'!$B$50</c:f>
              <c:strCache>
                <c:ptCount val="1"/>
                <c:pt idx="0">
                  <c:v>Total</c:v>
                </c:pt>
              </c:strCache>
            </c:strRef>
          </c:tx>
          <c:spPr>
            <a:solidFill>
              <a:srgbClr val="FF2E6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D9D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'DT Components Analysis'!$A$51:$A$55</c:f>
              <c:strCache>
                <c:ptCount val="5"/>
                <c:pt idx="0">
                  <c:v>United Arab Emirates</c:v>
                </c:pt>
                <c:pt idx="1">
                  <c:v>United Kingdom</c:v>
                </c:pt>
                <c:pt idx="2">
                  <c:v>Saudi Arabia</c:v>
                </c:pt>
                <c:pt idx="3">
                  <c:v>Egypt, Arab Rep</c:v>
                </c:pt>
                <c:pt idx="4">
                  <c:v>India</c:v>
                </c:pt>
              </c:strCache>
            </c:strRef>
          </c:cat>
          <c:val>
            <c:numRef>
              <c:f>'DT Components Analysis'!$B$51:$B$55</c:f>
              <c:numCache>
                <c:formatCode>General</c:formatCode>
                <c:ptCount val="5"/>
                <c:pt idx="0">
                  <c:v>0.76981899920854291</c:v>
                </c:pt>
                <c:pt idx="1">
                  <c:v>0.76031289837934291</c:v>
                </c:pt>
                <c:pt idx="2">
                  <c:v>0.656990709815788</c:v>
                </c:pt>
                <c:pt idx="3">
                  <c:v>0.38276634803443621</c:v>
                </c:pt>
                <c:pt idx="4">
                  <c:v>0.31797892428741809</c:v>
                </c:pt>
              </c:numCache>
            </c:numRef>
          </c:val>
          <c:extLst>
            <c:ext xmlns:c16="http://schemas.microsoft.com/office/drawing/2014/chart" uri="{C3380CC4-5D6E-409C-BE32-E72D297353CC}">
              <c16:uniqueId val="{00000002-A8A5-4EA6-9753-EFF6E23E0DA5}"/>
            </c:ext>
          </c:extLst>
        </c:ser>
        <c:dLbls>
          <c:dLblPos val="outEnd"/>
          <c:showLegendKey val="0"/>
          <c:showVal val="1"/>
          <c:showCatName val="0"/>
          <c:showSerName val="0"/>
          <c:showPercent val="0"/>
          <c:showBubbleSize val="0"/>
        </c:dLbls>
        <c:gapWidth val="219"/>
        <c:overlap val="-27"/>
        <c:axId val="2128349263"/>
        <c:axId val="2128350223"/>
      </c:barChart>
      <c:catAx>
        <c:axId val="2128349263"/>
        <c:scaling>
          <c:orientation val="minMax"/>
        </c:scaling>
        <c:delete val="0"/>
        <c:axPos val="b"/>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2128350223"/>
        <c:crosses val="autoZero"/>
        <c:auto val="1"/>
        <c:lblAlgn val="ctr"/>
        <c:lblOffset val="100"/>
        <c:noMultiLvlLbl val="0"/>
      </c:catAx>
      <c:valAx>
        <c:axId val="2128350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212834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.xlsx]DT Components Analysis!PivotTable3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'DT Components Analysis'!$B$50</c:f>
              <c:strCache>
                <c:ptCount val="1"/>
                <c:pt idx="0">
                  <c:v>Total</c:v>
                </c:pt>
              </c:strCache>
            </c:strRef>
          </c:tx>
          <c:spPr>
            <a:solidFill>
              <a:schemeClr val="accent1"/>
            </a:solidFill>
            <a:ln>
              <a:noFill/>
            </a:ln>
            <a:effectLst/>
          </c:spPr>
          <c:invertIfNegative val="0"/>
          <c:cat>
            <c:strRef>
              <c:f>'DT Components Analysis'!$A$51:$A$55</c:f>
              <c:strCache>
                <c:ptCount val="5"/>
                <c:pt idx="0">
                  <c:v>United Arab Emirates</c:v>
                </c:pt>
                <c:pt idx="1">
                  <c:v>United Kingdom</c:v>
                </c:pt>
                <c:pt idx="2">
                  <c:v>Saudi Arabia</c:v>
                </c:pt>
                <c:pt idx="3">
                  <c:v>Egypt, Arab Rep</c:v>
                </c:pt>
                <c:pt idx="4">
                  <c:v>India</c:v>
                </c:pt>
              </c:strCache>
            </c:strRef>
          </c:cat>
          <c:val>
            <c:numRef>
              <c:f>'DT Components Analysis'!$B$51:$B$55</c:f>
              <c:numCache>
                <c:formatCode>General</c:formatCode>
                <c:ptCount val="5"/>
                <c:pt idx="0">
                  <c:v>0.76981899920854291</c:v>
                </c:pt>
                <c:pt idx="1">
                  <c:v>0.76031289837934291</c:v>
                </c:pt>
                <c:pt idx="2">
                  <c:v>0.656990709815788</c:v>
                </c:pt>
                <c:pt idx="3">
                  <c:v>0.38276634803443621</c:v>
                </c:pt>
                <c:pt idx="4">
                  <c:v>0.31797892428741809</c:v>
                </c:pt>
              </c:numCache>
            </c:numRef>
          </c:val>
          <c:extLst>
            <c:ext xmlns:c16="http://schemas.microsoft.com/office/drawing/2014/chart" uri="{C3380CC4-5D6E-409C-BE32-E72D297353CC}">
              <c16:uniqueId val="{00000000-6123-488E-B811-049293C14C9D}"/>
            </c:ext>
          </c:extLst>
        </c:ser>
        <c:dLbls>
          <c:showLegendKey val="0"/>
          <c:showVal val="0"/>
          <c:showCatName val="0"/>
          <c:showSerName val="0"/>
          <c:showPercent val="0"/>
          <c:showBubbleSize val="0"/>
        </c:dLbls>
        <c:gapWidth val="219"/>
        <c:overlap val="-27"/>
        <c:axId val="1798175312"/>
        <c:axId val="1798160912"/>
      </c:barChart>
      <c:catAx>
        <c:axId val="179817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60912"/>
        <c:crosses val="autoZero"/>
        <c:auto val="1"/>
        <c:lblAlgn val="ctr"/>
        <c:lblOffset val="100"/>
        <c:noMultiLvlLbl val="0"/>
      </c:catAx>
      <c:valAx>
        <c:axId val="179816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7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.xlsx]DT Components Analysis!PivotTable9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D9D6"/>
                </a:solidFill>
                <a:latin typeface="Arial" panose="020B0604020202020204" pitchFamily="34" charset="0"/>
                <a:cs typeface="Arial" panose="020B0604020202020204" pitchFamily="34" charset="0"/>
              </a:rPr>
              <a:t>Digital Payments</a:t>
            </a:r>
            <a:r>
              <a:rPr lang="en-US" b="1" baseline="0">
                <a:solidFill>
                  <a:srgbClr val="08D9D6"/>
                </a:solidFill>
                <a:latin typeface="Arial" panose="020B0604020202020204" pitchFamily="34" charset="0"/>
                <a:cs typeface="Arial" panose="020B0604020202020204" pitchFamily="34" charset="0"/>
              </a:rPr>
              <a:t> Adoption Across Countries</a:t>
            </a:r>
            <a:endParaRPr lang="en-US" b="1">
              <a:solidFill>
                <a:srgbClr val="08D9D6"/>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2E6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'DT Components Analysis'!$B$19</c:f>
              <c:strCache>
                <c:ptCount val="1"/>
                <c:pt idx="0">
                  <c:v>Total</c:v>
                </c:pt>
              </c:strCache>
            </c:strRef>
          </c:tx>
          <c:spPr>
            <a:solidFill>
              <a:srgbClr val="FF2E6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8D9D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'DT Components Analysis'!$A$20:$A$24</c:f>
              <c:strCache>
                <c:ptCount val="5"/>
                <c:pt idx="0">
                  <c:v>Saudi Arabia</c:v>
                </c:pt>
                <c:pt idx="1">
                  <c:v>United Kingdom</c:v>
                </c:pt>
                <c:pt idx="2">
                  <c:v>United Arab Emirates</c:v>
                </c:pt>
                <c:pt idx="3">
                  <c:v>India</c:v>
                </c:pt>
                <c:pt idx="4">
                  <c:v>Egypt, Arab Rep</c:v>
                </c:pt>
              </c:strCache>
            </c:strRef>
          </c:cat>
          <c:val>
            <c:numRef>
              <c:f>'DT Components Analysis'!$B$20:$B$24</c:f>
              <c:numCache>
                <c:formatCode>General</c:formatCode>
                <c:ptCount val="5"/>
                <c:pt idx="0">
                  <c:v>0.67231857156786445</c:v>
                </c:pt>
                <c:pt idx="1">
                  <c:v>0.63535783347000752</c:v>
                </c:pt>
                <c:pt idx="2">
                  <c:v>0.56436852021064765</c:v>
                </c:pt>
                <c:pt idx="3">
                  <c:v>0.23262859545135892</c:v>
                </c:pt>
                <c:pt idx="4">
                  <c:v>0.11133560061158436</c:v>
                </c:pt>
              </c:numCache>
            </c:numRef>
          </c:val>
          <c:extLst>
            <c:ext xmlns:c16="http://schemas.microsoft.com/office/drawing/2014/chart" uri="{C3380CC4-5D6E-409C-BE32-E72D297353CC}">
              <c16:uniqueId val="{00000000-5E56-42EB-8DCF-B14207B32B0A}"/>
            </c:ext>
          </c:extLst>
        </c:ser>
        <c:dLbls>
          <c:showLegendKey val="0"/>
          <c:showVal val="0"/>
          <c:showCatName val="0"/>
          <c:showSerName val="0"/>
          <c:showPercent val="0"/>
          <c:showBubbleSize val="0"/>
        </c:dLbls>
        <c:gapWidth val="219"/>
        <c:overlap val="-27"/>
        <c:axId val="1798167152"/>
        <c:axId val="1798176752"/>
      </c:barChart>
      <c:catAx>
        <c:axId val="1798167152"/>
        <c:scaling>
          <c:orientation val="minMax"/>
        </c:scaling>
        <c:delete val="0"/>
        <c:axPos val="b"/>
        <c:numFmt formatCode="General" sourceLinked="1"/>
        <c:majorTickMark val="none"/>
        <c:minorTickMark val="out"/>
        <c:tickLblPos val="nextTo"/>
        <c:spPr>
          <a:noFill/>
          <a:ln w="9525" cap="flat" cmpd="sng" algn="ctr">
            <a:solidFill>
              <a:srgbClr val="EAEAEA"/>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98176752"/>
        <c:crosses val="autoZero"/>
        <c:auto val="1"/>
        <c:lblAlgn val="ctr"/>
        <c:lblOffset val="100"/>
        <c:noMultiLvlLbl val="0"/>
      </c:catAx>
      <c:valAx>
        <c:axId val="1798176752"/>
        <c:scaling>
          <c:orientation val="minMax"/>
        </c:scaling>
        <c:delete val="0"/>
        <c:axPos val="l"/>
        <c:numFmt formatCode="General" sourceLinked="1"/>
        <c:majorTickMark val="out"/>
        <c:minorTickMark val="none"/>
        <c:tickLblPos val="nextTo"/>
        <c:spPr>
          <a:noFill/>
          <a:ln>
            <a:solidFill>
              <a:srgbClr val="EAEAEA"/>
            </a:solidFill>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9816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8D9D6"/>
                </a:solidFill>
                <a:latin typeface="Arial" panose="020B0604020202020204" pitchFamily="34" charset="0"/>
                <a:cs typeface="Arial" panose="020B0604020202020204" pitchFamily="34" charset="0"/>
              </a:rPr>
              <a:t>Digital Transformation Vs Financial Inclusion</a:t>
            </a:r>
          </a:p>
        </c:rich>
      </c:tx>
      <c:layout>
        <c:manualLayout>
          <c:xMode val="edge"/>
          <c:yMode val="edge"/>
          <c:x val="0.13289345002256883"/>
          <c:y val="3.40412871185219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noFill/>
              <a:ln w="50800">
                <a:solidFill>
                  <a:srgbClr val="FF2E63"/>
                </a:solidFill>
              </a:ln>
              <a:effectLst/>
            </c:spPr>
          </c:marker>
          <c:trendline>
            <c:spPr>
              <a:ln w="25400" cap="rnd">
                <a:solidFill>
                  <a:srgbClr val="08D9D6"/>
                </a:solidFill>
                <a:prstDash val="sysDot"/>
              </a:ln>
              <a:effectLst/>
            </c:spPr>
            <c:trendlineType val="linear"/>
            <c:dispRSqr val="1"/>
            <c:dispEq val="1"/>
            <c:trendlineLbl>
              <c:layout>
                <c:manualLayout>
                  <c:x val="0.19320056867891514"/>
                  <c:y val="0.28543307086614172"/>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rgbClr val="FF2E63"/>
                      </a:solidFill>
                      <a:latin typeface="Arial" panose="020B0604020202020204" pitchFamily="34" charset="0"/>
                      <a:ea typeface="+mn-ea"/>
                      <a:cs typeface="Arial" panose="020B0604020202020204" pitchFamily="34" charset="0"/>
                    </a:defRPr>
                  </a:pPr>
                  <a:endParaRPr lang="en-US"/>
                </a:p>
              </c:txPr>
            </c:trendlineLbl>
          </c:trendline>
          <c:xVal>
            <c:numRef>
              <c:f>'Impact Analysis'!$B$40:$B$44</c:f>
              <c:numCache>
                <c:formatCode>General</c:formatCode>
                <c:ptCount val="5"/>
                <c:pt idx="0">
                  <c:v>0.77908653294220587</c:v>
                </c:pt>
                <c:pt idx="1">
                  <c:v>0.7634200333900012</c:v>
                </c:pt>
                <c:pt idx="2">
                  <c:v>0.64331313504884891</c:v>
                </c:pt>
                <c:pt idx="3">
                  <c:v>0.33673315226533856</c:v>
                </c:pt>
                <c:pt idx="4">
                  <c:v>0.32720017067917362</c:v>
                </c:pt>
              </c:numCache>
            </c:numRef>
          </c:xVal>
          <c:yVal>
            <c:numRef>
              <c:f>'Impact Analysis'!$C$40:$C$44</c:f>
              <c:numCache>
                <c:formatCode>General</c:formatCode>
                <c:ptCount val="5"/>
                <c:pt idx="0">
                  <c:v>0.96138277088278323</c:v>
                </c:pt>
                <c:pt idx="1">
                  <c:v>0.59536357304756682</c:v>
                </c:pt>
                <c:pt idx="2">
                  <c:v>0.52411387363336071</c:v>
                </c:pt>
                <c:pt idx="3">
                  <c:v>0.45949314137282499</c:v>
                </c:pt>
                <c:pt idx="4">
                  <c:v>4.8929876554097876E-2</c:v>
                </c:pt>
              </c:numCache>
            </c:numRef>
          </c:yVal>
          <c:smooth val="0"/>
          <c:extLst>
            <c:ext xmlns:c16="http://schemas.microsoft.com/office/drawing/2014/chart" uri="{C3380CC4-5D6E-409C-BE32-E72D297353CC}">
              <c16:uniqueId val="{00000000-1BEF-4CDD-83A1-0618060D07B3}"/>
            </c:ext>
          </c:extLst>
        </c:ser>
        <c:dLbls>
          <c:showLegendKey val="0"/>
          <c:showVal val="0"/>
          <c:showCatName val="0"/>
          <c:showSerName val="0"/>
          <c:showPercent val="0"/>
          <c:showBubbleSize val="0"/>
        </c:dLbls>
        <c:axId val="180375007"/>
        <c:axId val="180378367"/>
      </c:scatterChart>
      <c:valAx>
        <c:axId val="18037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solidFill>
                      <a:srgbClr val="EAEAEA"/>
                    </a:solidFill>
                    <a:latin typeface="Arial" panose="020B0604020202020204" pitchFamily="34" charset="0"/>
                    <a:cs typeface="Arial" panose="020B0604020202020204" pitchFamily="34" charset="0"/>
                  </a:rPr>
                  <a:t>Digital Transformation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05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80378367"/>
        <c:crosses val="autoZero"/>
        <c:crossBetween val="midCat"/>
      </c:valAx>
      <c:valAx>
        <c:axId val="180378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solidFill>
                      <a:srgbClr val="EAEAEA"/>
                    </a:solidFill>
                    <a:latin typeface="Arial" panose="020B0604020202020204" pitchFamily="34" charset="0"/>
                    <a:cs typeface="Arial" panose="020B0604020202020204" pitchFamily="34" charset="0"/>
                  </a:rPr>
                  <a:t>Financial Inclusion</a:t>
                </a:r>
              </a:p>
            </c:rich>
          </c:tx>
          <c:layout>
            <c:manualLayout>
              <c:xMode val="edge"/>
              <c:yMode val="edge"/>
              <c:x val="1.9444444444444445E-2"/>
              <c:y val="0.264046733741615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05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80375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D9D6"/>
                </a:solidFill>
                <a:latin typeface="Arial" panose="020B0604020202020204" pitchFamily="34" charset="0"/>
                <a:cs typeface="Arial" panose="020B0604020202020204" pitchFamily="34" charset="0"/>
              </a:rPr>
              <a:t>Internet Penetration Vs Financial Inclusion</a:t>
            </a:r>
          </a:p>
        </c:rich>
      </c:tx>
      <c:layout>
        <c:manualLayout>
          <c:xMode val="edge"/>
          <c:yMode val="edge"/>
          <c:x val="0.1863818897637795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rgbClr val="FF2E63"/>
              </a:solidFill>
              <a:ln w="50800">
                <a:solidFill>
                  <a:srgbClr val="FF2E63"/>
                </a:solidFill>
              </a:ln>
              <a:effectLst/>
            </c:spPr>
          </c:marker>
          <c:trendline>
            <c:spPr>
              <a:ln w="31750" cap="rnd">
                <a:solidFill>
                  <a:srgbClr val="08D9D6"/>
                </a:solidFill>
                <a:prstDash val="sysDot"/>
              </a:ln>
              <a:effectLst/>
            </c:spPr>
            <c:trendlineType val="linear"/>
            <c:dispRSqr val="1"/>
            <c:dispEq val="1"/>
            <c:trendlineLbl>
              <c:layout>
                <c:manualLayout>
                  <c:x val="0.18724015748031497"/>
                  <c:y val="0.25047244094488191"/>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trendlineLbl>
          </c:trendline>
          <c:xVal>
            <c:numRef>
              <c:f>'Impact Analysis'!$B$4:$B$8</c:f>
              <c:numCache>
                <c:formatCode>General</c:formatCode>
                <c:ptCount val="5"/>
                <c:pt idx="0">
                  <c:v>0.71956197733965033</c:v>
                </c:pt>
                <c:pt idx="1">
                  <c:v>0.7811435803941732</c:v>
                </c:pt>
                <c:pt idx="2">
                  <c:v>0.62023636726797782</c:v>
                </c:pt>
                <c:pt idx="3">
                  <c:v>0.25607790052795187</c:v>
                </c:pt>
                <c:pt idx="4">
                  <c:v>0.40111482543577809</c:v>
                </c:pt>
              </c:numCache>
            </c:numRef>
          </c:xVal>
          <c:yVal>
            <c:numRef>
              <c:f>'Impact Analysis'!$C$4:$C$8</c:f>
              <c:numCache>
                <c:formatCode>General</c:formatCode>
                <c:ptCount val="5"/>
                <c:pt idx="0">
                  <c:v>0.96138277088278323</c:v>
                </c:pt>
                <c:pt idx="1">
                  <c:v>0.59536357304756682</c:v>
                </c:pt>
                <c:pt idx="2">
                  <c:v>0.52411387363336071</c:v>
                </c:pt>
                <c:pt idx="3">
                  <c:v>0.45949314137282499</c:v>
                </c:pt>
                <c:pt idx="4">
                  <c:v>4.8929876554097876E-2</c:v>
                </c:pt>
              </c:numCache>
            </c:numRef>
          </c:yVal>
          <c:smooth val="0"/>
          <c:extLst>
            <c:ext xmlns:c16="http://schemas.microsoft.com/office/drawing/2014/chart" uri="{C3380CC4-5D6E-409C-BE32-E72D297353CC}">
              <c16:uniqueId val="{00000000-4B69-4330-BDD2-49894FA48657}"/>
            </c:ext>
          </c:extLst>
        </c:ser>
        <c:dLbls>
          <c:showLegendKey val="0"/>
          <c:showVal val="0"/>
          <c:showCatName val="0"/>
          <c:showSerName val="0"/>
          <c:showPercent val="0"/>
          <c:showBubbleSize val="0"/>
        </c:dLbls>
        <c:axId val="949881519"/>
        <c:axId val="949896879"/>
      </c:scatterChart>
      <c:valAx>
        <c:axId val="949881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Internet Penetration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949896879"/>
        <c:crosses val="autoZero"/>
        <c:crossBetween val="midCat"/>
      </c:valAx>
      <c:valAx>
        <c:axId val="9498968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Financial Inclusion</a:t>
                </a:r>
              </a:p>
            </c:rich>
          </c:tx>
          <c:layout>
            <c:manualLayout>
              <c:xMode val="edge"/>
              <c:yMode val="edge"/>
              <c:x val="1.9444444444444445E-2"/>
              <c:y val="0.288772965879265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9498815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8D9D6"/>
                </a:solidFill>
                <a:latin typeface="Arial" panose="020B0604020202020204" pitchFamily="34" charset="0"/>
                <a:cs typeface="Arial" panose="020B0604020202020204" pitchFamily="34" charset="0"/>
              </a:rPr>
              <a:t>E-Government Vs Financial Inclusion</a:t>
            </a:r>
          </a:p>
        </c:rich>
      </c:tx>
      <c:layout>
        <c:manualLayout>
          <c:xMode val="edge"/>
          <c:yMode val="edge"/>
          <c:x val="0.171798556430446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noFill/>
              <a:ln w="50800">
                <a:solidFill>
                  <a:srgbClr val="FF2E63"/>
                </a:solidFill>
              </a:ln>
              <a:effectLst/>
            </c:spPr>
          </c:marker>
          <c:trendline>
            <c:spPr>
              <a:ln w="31750" cap="rnd">
                <a:solidFill>
                  <a:srgbClr val="08D9D6"/>
                </a:solidFill>
                <a:prstDash val="sysDot"/>
              </a:ln>
              <a:effectLst/>
            </c:spPr>
            <c:trendlineType val="linear"/>
            <c:dispRSqr val="1"/>
            <c:dispEq val="1"/>
            <c:trendlineLbl>
              <c:layout>
                <c:manualLayout>
                  <c:x val="7.6221566054243226E-2"/>
                  <c:y val="0.34417796733741618"/>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trendlineLbl>
          </c:trendline>
          <c:xVal>
            <c:numRef>
              <c:f>'Impact Analysis'!$B$22:$B$26</c:f>
              <c:numCache>
                <c:formatCode>General</c:formatCode>
                <c:ptCount val="5"/>
                <c:pt idx="0">
                  <c:v>0.92529866666666682</c:v>
                </c:pt>
                <c:pt idx="1">
                  <c:v>0.85816066666666679</c:v>
                </c:pt>
                <c:pt idx="2">
                  <c:v>0.80146866666666661</c:v>
                </c:pt>
                <c:pt idx="3">
                  <c:v>0.57662533333333332</c:v>
                </c:pt>
                <c:pt idx="4">
                  <c:v>0.55190533333333336</c:v>
                </c:pt>
              </c:numCache>
            </c:numRef>
          </c:xVal>
          <c:yVal>
            <c:numRef>
              <c:f>'Impact Analysis'!$C$22:$C$26</c:f>
              <c:numCache>
                <c:formatCode>General</c:formatCode>
                <c:ptCount val="5"/>
                <c:pt idx="0">
                  <c:v>0.96138277088278323</c:v>
                </c:pt>
                <c:pt idx="1">
                  <c:v>0.59536357304756682</c:v>
                </c:pt>
                <c:pt idx="2">
                  <c:v>0.52411387363336071</c:v>
                </c:pt>
                <c:pt idx="3">
                  <c:v>0.45949314137282499</c:v>
                </c:pt>
                <c:pt idx="4">
                  <c:v>4.8929876554097876E-2</c:v>
                </c:pt>
              </c:numCache>
            </c:numRef>
          </c:yVal>
          <c:smooth val="0"/>
          <c:extLst>
            <c:ext xmlns:c16="http://schemas.microsoft.com/office/drawing/2014/chart" uri="{C3380CC4-5D6E-409C-BE32-E72D297353CC}">
              <c16:uniqueId val="{00000000-815A-4C43-9382-9815ADB335D7}"/>
            </c:ext>
          </c:extLst>
        </c:ser>
        <c:dLbls>
          <c:showLegendKey val="0"/>
          <c:showVal val="0"/>
          <c:showCatName val="0"/>
          <c:showSerName val="0"/>
          <c:showPercent val="0"/>
          <c:showBubbleSize val="0"/>
        </c:dLbls>
        <c:axId val="949909839"/>
        <c:axId val="949905999"/>
      </c:scatterChart>
      <c:valAx>
        <c:axId val="94990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E-Government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949905999"/>
        <c:crosses val="autoZero"/>
        <c:crossBetween val="midCat"/>
      </c:valAx>
      <c:valAx>
        <c:axId val="949905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Financial Inclusion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949909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08D9D6"/>
                </a:solidFill>
                <a:latin typeface="Arial" panose="020B0604020202020204" pitchFamily="34" charset="0"/>
                <a:cs typeface="Arial" panose="020B0604020202020204" pitchFamily="34" charset="0"/>
              </a:rPr>
              <a:t>Digital Payments Vs</a:t>
            </a:r>
            <a:r>
              <a:rPr lang="en-US" b="0" baseline="0">
                <a:solidFill>
                  <a:srgbClr val="08D9D6"/>
                </a:solidFill>
                <a:latin typeface="Arial" panose="020B0604020202020204" pitchFamily="34" charset="0"/>
                <a:cs typeface="Arial" panose="020B0604020202020204" pitchFamily="34" charset="0"/>
              </a:rPr>
              <a:t> Financial Inclusion</a:t>
            </a:r>
            <a:endParaRPr lang="en-US" b="0">
              <a:solidFill>
                <a:srgbClr val="08D9D6"/>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noFill/>
              <a:ln w="50800">
                <a:solidFill>
                  <a:srgbClr val="FF2E63"/>
                </a:solidFill>
              </a:ln>
              <a:effectLst/>
            </c:spPr>
          </c:marker>
          <c:trendline>
            <c:spPr>
              <a:ln w="25400" cap="rnd">
                <a:solidFill>
                  <a:srgbClr val="08D9D6"/>
                </a:solidFill>
                <a:prstDash val="sysDot"/>
              </a:ln>
              <a:effectLst/>
            </c:spPr>
            <c:trendlineType val="linear"/>
            <c:dispRSqr val="1"/>
            <c:dispEq val="1"/>
            <c:trendlineLbl>
              <c:layout>
                <c:manualLayout>
                  <c:x val="0.1448053368328959"/>
                  <c:y val="0.2962871828521435"/>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baseline="0">
                        <a:solidFill>
                          <a:srgbClr val="FF2E63"/>
                        </a:solidFill>
                        <a:latin typeface="Arial" panose="020B0604020202020204" pitchFamily="34" charset="0"/>
                        <a:cs typeface="Arial" panose="020B0604020202020204" pitchFamily="34" charset="0"/>
                      </a:rPr>
                      <a:t>y = 1.0022x + 0.0766</a:t>
                    </a:r>
                    <a:br>
                      <a:rPr lang="en-US" sz="1050" baseline="0">
                        <a:solidFill>
                          <a:srgbClr val="FF2E63"/>
                        </a:solidFill>
                        <a:latin typeface="Arial" panose="020B0604020202020204" pitchFamily="34" charset="0"/>
                        <a:cs typeface="Arial" panose="020B0604020202020204" pitchFamily="34" charset="0"/>
                      </a:rPr>
                    </a:br>
                    <a:r>
                      <a:rPr lang="en-US" sz="1050" baseline="0">
                        <a:solidFill>
                          <a:srgbClr val="FF2E63"/>
                        </a:solidFill>
                        <a:latin typeface="Arial" panose="020B0604020202020204" pitchFamily="34" charset="0"/>
                        <a:cs typeface="Arial" panose="020B0604020202020204" pitchFamily="34" charset="0"/>
                      </a:rPr>
                      <a:t>R² = 0.6294</a:t>
                    </a:r>
                    <a:endParaRPr lang="en-US" sz="1050">
                      <a:solidFill>
                        <a:srgbClr val="FF2E63"/>
                      </a:solidFill>
                      <a:latin typeface="Arial" panose="020B0604020202020204" pitchFamily="34" charset="0"/>
                      <a:cs typeface="Arial" panose="020B0604020202020204" pitchFamily="34" charset="0"/>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'Impact Analysis'!$B$61:$B$65</c:f>
              <c:numCache>
                <c:formatCode>General</c:formatCode>
                <c:ptCount val="5"/>
                <c:pt idx="0">
                  <c:v>0.63535783347000752</c:v>
                </c:pt>
                <c:pt idx="1">
                  <c:v>0.56436852021064765</c:v>
                </c:pt>
                <c:pt idx="2">
                  <c:v>0.67231857156786445</c:v>
                </c:pt>
                <c:pt idx="3">
                  <c:v>0.23262859545135892</c:v>
                </c:pt>
                <c:pt idx="4">
                  <c:v>0.11133560061158436</c:v>
                </c:pt>
              </c:numCache>
            </c:numRef>
          </c:xVal>
          <c:yVal>
            <c:numRef>
              <c:f>'Impact Analysis'!$C$61:$C$65</c:f>
              <c:numCache>
                <c:formatCode>General</c:formatCode>
                <c:ptCount val="5"/>
                <c:pt idx="0">
                  <c:v>0.96138277088278323</c:v>
                </c:pt>
                <c:pt idx="1">
                  <c:v>0.59536357304756682</c:v>
                </c:pt>
                <c:pt idx="2">
                  <c:v>0.52411387363336071</c:v>
                </c:pt>
                <c:pt idx="3">
                  <c:v>0.45949314137282499</c:v>
                </c:pt>
                <c:pt idx="4">
                  <c:v>6.3405619923347242E-2</c:v>
                </c:pt>
              </c:numCache>
            </c:numRef>
          </c:yVal>
          <c:smooth val="0"/>
          <c:extLst>
            <c:ext xmlns:c16="http://schemas.microsoft.com/office/drawing/2014/chart" uri="{C3380CC4-5D6E-409C-BE32-E72D297353CC}">
              <c16:uniqueId val="{00000000-B82D-4B02-87CD-BF7513CD8771}"/>
            </c:ext>
          </c:extLst>
        </c:ser>
        <c:dLbls>
          <c:showLegendKey val="0"/>
          <c:showVal val="0"/>
          <c:showCatName val="0"/>
          <c:showSerName val="0"/>
          <c:showPercent val="0"/>
          <c:showBubbleSize val="0"/>
        </c:dLbls>
        <c:axId val="163924383"/>
        <c:axId val="163908063"/>
      </c:scatterChart>
      <c:valAx>
        <c:axId val="16392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Digital Payments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05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63908063"/>
        <c:crosses val="autoZero"/>
        <c:crossBetween val="midCat"/>
      </c:valAx>
      <c:valAx>
        <c:axId val="163908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solidFill>
                      <a:srgbClr val="EAEAEA"/>
                    </a:solidFill>
                    <a:latin typeface="Arial" panose="020B0604020202020204" pitchFamily="34" charset="0"/>
                    <a:cs typeface="Arial" panose="020B0604020202020204" pitchFamily="34" charset="0"/>
                  </a:rPr>
                  <a:t>Financial Inclusion</a:t>
                </a:r>
              </a:p>
            </c:rich>
          </c:tx>
          <c:layout>
            <c:manualLayout>
              <c:xMode val="edge"/>
              <c:yMode val="edge"/>
              <c:x val="2.2222222222222223E-2"/>
              <c:y val="0.266913458734324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FF2E63"/>
            </a:solidFill>
            <a:round/>
          </a:ln>
          <a:effectLst/>
        </c:spPr>
        <c:txPr>
          <a:bodyPr rot="-60000000" spcFirstLastPara="1" vertOverflow="ellipsis" vert="horz" wrap="square" anchor="ctr" anchorCtr="1"/>
          <a:lstStyle/>
          <a:p>
            <a:pPr>
              <a:defRPr sz="105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163924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[Fact_Digital_Transformation_Index .xlsx]Growth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8D9D6"/>
                </a:solidFill>
                <a:latin typeface="Arial" panose="020B0604020202020204" pitchFamily="34" charset="0"/>
                <a:cs typeface="Arial" panose="020B0604020202020204" pitchFamily="34" charset="0"/>
              </a:rPr>
              <a:t>Growth Of Digital Transformation And Financial Inclusion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D9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AEA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2E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2714660667416E-2"/>
          <c:y val="7.9837780694079902E-2"/>
          <c:w val="0.66519423759812824"/>
          <c:h val="0.80763670166229218"/>
        </c:manualLayout>
      </c:layout>
      <c:barChart>
        <c:barDir val="col"/>
        <c:grouping val="clustered"/>
        <c:varyColors val="0"/>
        <c:ser>
          <c:idx val="0"/>
          <c:order val="0"/>
          <c:tx>
            <c:strRef>
              <c:f>'Growth Analysis'!$B$78</c:f>
              <c:strCache>
                <c:ptCount val="1"/>
                <c:pt idx="0">
                  <c:v>Average of DT_Growth%</c:v>
                </c:pt>
              </c:strCache>
            </c:strRef>
          </c:tx>
          <c:spPr>
            <a:solidFill>
              <a:schemeClr val="accent1"/>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Analysis'!$B$79:$B$83</c:f>
              <c:numCache>
                <c:formatCode>General</c:formatCode>
                <c:ptCount val="5"/>
                <c:pt idx="0">
                  <c:v>-6.5174801251701329</c:v>
                </c:pt>
                <c:pt idx="1">
                  <c:v>93.8681380379968</c:v>
                </c:pt>
                <c:pt idx="2">
                  <c:v>13.222405202199466</c:v>
                </c:pt>
                <c:pt idx="3">
                  <c:v>14.18986128643728</c:v>
                </c:pt>
                <c:pt idx="4">
                  <c:v>-9.7643971706234822</c:v>
                </c:pt>
              </c:numCache>
            </c:numRef>
          </c:val>
          <c:extLst>
            <c:ext xmlns:c16="http://schemas.microsoft.com/office/drawing/2014/chart" uri="{C3380CC4-5D6E-409C-BE32-E72D297353CC}">
              <c16:uniqueId val="{00000000-16CD-45B2-B72A-4D5C00C95485}"/>
            </c:ext>
          </c:extLst>
        </c:ser>
        <c:ser>
          <c:idx val="1"/>
          <c:order val="1"/>
          <c:tx>
            <c:strRef>
              <c:f>'Growth Analysis'!$C$78</c:f>
              <c:strCache>
                <c:ptCount val="1"/>
                <c:pt idx="0">
                  <c:v>Average FI Growth%</c:v>
                </c:pt>
              </c:strCache>
            </c:strRef>
          </c:tx>
          <c:spPr>
            <a:solidFill>
              <a:srgbClr val="C00000"/>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Analysis'!$C$79:$C$83</c:f>
              <c:numCache>
                <c:formatCode>General</c:formatCode>
                <c:ptCount val="5"/>
                <c:pt idx="0">
                  <c:v>149.45442409215053</c:v>
                </c:pt>
                <c:pt idx="1">
                  <c:v>25.068168824689952</c:v>
                </c:pt>
                <c:pt idx="2">
                  <c:v>44.946989900595</c:v>
                </c:pt>
                <c:pt idx="3">
                  <c:v>-28.308660990907153</c:v>
                </c:pt>
                <c:pt idx="4">
                  <c:v>-3.0990654355193969</c:v>
                </c:pt>
              </c:numCache>
            </c:numRef>
          </c:val>
          <c:extLst>
            <c:ext xmlns:c16="http://schemas.microsoft.com/office/drawing/2014/chart" uri="{C3380CC4-5D6E-409C-BE32-E72D297353CC}">
              <c16:uniqueId val="{00000001-16CD-45B2-B72A-4D5C00C95485}"/>
            </c:ext>
          </c:extLst>
        </c:ser>
        <c:ser>
          <c:idx val="2"/>
          <c:order val="2"/>
          <c:tx>
            <c:strRef>
              <c:f>'Growth Analysis'!$D$78</c:f>
              <c:strCache>
                <c:ptCount val="1"/>
                <c:pt idx="0">
                  <c:v>Average EGOV Growth%</c:v>
                </c:pt>
              </c:strCache>
            </c:strRef>
          </c:tx>
          <c:spPr>
            <a:solidFill>
              <a:srgbClr val="08D9D6"/>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Analysis'!$D$79:$D$83</c:f>
              <c:numCache>
                <c:formatCode>General</c:formatCode>
                <c:ptCount val="5"/>
                <c:pt idx="0">
                  <c:v>32.924396533829658</c:v>
                </c:pt>
                <c:pt idx="1">
                  <c:v>21.872281246462567</c:v>
                </c:pt>
                <c:pt idx="2">
                  <c:v>30.126410371054003</c:v>
                </c:pt>
                <c:pt idx="3">
                  <c:v>17.284723671699247</c:v>
                </c:pt>
                <c:pt idx="4">
                  <c:v>2.878639068867467</c:v>
                </c:pt>
              </c:numCache>
            </c:numRef>
          </c:val>
          <c:extLst>
            <c:ext xmlns:c16="http://schemas.microsoft.com/office/drawing/2014/chart" uri="{C3380CC4-5D6E-409C-BE32-E72D297353CC}">
              <c16:uniqueId val="{00000002-16CD-45B2-B72A-4D5C00C95485}"/>
            </c:ext>
          </c:extLst>
        </c:ser>
        <c:ser>
          <c:idx val="3"/>
          <c:order val="3"/>
          <c:tx>
            <c:strRef>
              <c:f>'Growth Analysis'!$E$78</c:f>
              <c:strCache>
                <c:ptCount val="1"/>
                <c:pt idx="0">
                  <c:v>Average Internet Growth%</c:v>
                </c:pt>
              </c:strCache>
            </c:strRef>
          </c:tx>
          <c:spPr>
            <a:solidFill>
              <a:srgbClr val="EAEAEA"/>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Analysis'!$E$79:$E$83</c:f>
              <c:numCache>
                <c:formatCode>General</c:formatCode>
                <c:ptCount val="5"/>
                <c:pt idx="0">
                  <c:v>-19.141975829072532</c:v>
                </c:pt>
                <c:pt idx="1">
                  <c:v>169.50831745459973</c:v>
                </c:pt>
                <c:pt idx="2">
                  <c:v>-4.520193185468611</c:v>
                </c:pt>
                <c:pt idx="3">
                  <c:v>19.228654310267967</c:v>
                </c:pt>
                <c:pt idx="4">
                  <c:v>-16.239590437227296</c:v>
                </c:pt>
              </c:numCache>
            </c:numRef>
          </c:val>
          <c:extLst>
            <c:ext xmlns:c16="http://schemas.microsoft.com/office/drawing/2014/chart" uri="{C3380CC4-5D6E-409C-BE32-E72D297353CC}">
              <c16:uniqueId val="{00000003-16CD-45B2-B72A-4D5C00C95485}"/>
            </c:ext>
          </c:extLst>
        </c:ser>
        <c:ser>
          <c:idx val="4"/>
          <c:order val="4"/>
          <c:tx>
            <c:strRef>
              <c:f>'Growth Analysis'!$F$78</c:f>
              <c:strCache>
                <c:ptCount val="1"/>
                <c:pt idx="0">
                  <c:v>Average Digital Payments Growth%</c:v>
                </c:pt>
              </c:strCache>
            </c:strRef>
          </c:tx>
          <c:spPr>
            <a:solidFill>
              <a:srgbClr val="FF2E63"/>
            </a:solidFill>
            <a:ln>
              <a:noFill/>
            </a:ln>
            <a:effectLst/>
          </c:spPr>
          <c:invertIfNegative val="0"/>
          <c:cat>
            <c:strRef>
              <c:f>'Growth Analysis'!$A$79:$A$83</c:f>
              <c:strCache>
                <c:ptCount val="5"/>
                <c:pt idx="0">
                  <c:v>Egypt, Arab Rep</c:v>
                </c:pt>
                <c:pt idx="1">
                  <c:v>India</c:v>
                </c:pt>
                <c:pt idx="2">
                  <c:v>Saudi Arabia</c:v>
                </c:pt>
                <c:pt idx="3">
                  <c:v>United Arab Emirates</c:v>
                </c:pt>
                <c:pt idx="4">
                  <c:v>United Kingdom</c:v>
                </c:pt>
              </c:strCache>
            </c:strRef>
          </c:cat>
          <c:val>
            <c:numRef>
              <c:f>'Growth Analysis'!$F$79:$F$83</c:f>
              <c:numCache>
                <c:formatCode>General</c:formatCode>
                <c:ptCount val="5"/>
                <c:pt idx="0">
                  <c:v>1705.0537990557559</c:v>
                </c:pt>
                <c:pt idx="1">
                  <c:v>1121.2533367640824</c:v>
                </c:pt>
                <c:pt idx="2">
                  <c:v>105.20576619745674</c:v>
                </c:pt>
                <c:pt idx="3">
                  <c:v>-32.695914469339847</c:v>
                </c:pt>
                <c:pt idx="4">
                  <c:v>-4.9918872748217344</c:v>
                </c:pt>
              </c:numCache>
            </c:numRef>
          </c:val>
          <c:extLst>
            <c:ext xmlns:c16="http://schemas.microsoft.com/office/drawing/2014/chart" uri="{C3380CC4-5D6E-409C-BE32-E72D297353CC}">
              <c16:uniqueId val="{00000006-16CD-45B2-B72A-4D5C00C95485}"/>
            </c:ext>
          </c:extLst>
        </c:ser>
        <c:dLbls>
          <c:showLegendKey val="0"/>
          <c:showVal val="0"/>
          <c:showCatName val="0"/>
          <c:showSerName val="0"/>
          <c:showPercent val="0"/>
          <c:showBubbleSize val="0"/>
        </c:dLbls>
        <c:gapWidth val="219"/>
        <c:overlap val="-27"/>
        <c:axId val="708676671"/>
        <c:axId val="708677151"/>
      </c:barChart>
      <c:catAx>
        <c:axId val="70867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Country</a:t>
                </a:r>
              </a:p>
            </c:rich>
          </c:tx>
          <c:layout>
            <c:manualLayout>
              <c:xMode val="edge"/>
              <c:yMode val="edge"/>
              <c:x val="0.38413835995051515"/>
              <c:y val="0.913657407407407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708677151"/>
        <c:crosses val="autoZero"/>
        <c:auto val="1"/>
        <c:lblAlgn val="ctr"/>
        <c:lblOffset val="100"/>
        <c:noMultiLvlLbl val="0"/>
      </c:catAx>
      <c:valAx>
        <c:axId val="708677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rgbClr val="EAEAEA"/>
                    </a:solidFill>
                    <a:latin typeface="Arial" panose="020B0604020202020204" pitchFamily="34" charset="0"/>
                    <a:cs typeface="Arial" panose="020B0604020202020204" pitchFamily="34" charset="0"/>
                  </a:rPr>
                  <a:t>Avg</a:t>
                </a:r>
                <a:r>
                  <a:rPr lang="en-US" sz="1100" baseline="0">
                    <a:solidFill>
                      <a:srgbClr val="EAEAEA"/>
                    </a:solidFill>
                    <a:latin typeface="Arial" panose="020B0604020202020204" pitchFamily="34" charset="0"/>
                    <a:cs typeface="Arial" panose="020B0604020202020204" pitchFamily="34" charset="0"/>
                  </a:rPr>
                  <a:t> Index Growth%</a:t>
                </a:r>
                <a:endParaRPr lang="en-US" sz="1100">
                  <a:solidFill>
                    <a:srgbClr val="EAEAEA"/>
                  </a:solidFill>
                  <a:latin typeface="Arial" panose="020B0604020202020204" pitchFamily="34" charset="0"/>
                  <a:cs typeface="Arial" panose="020B0604020202020204" pitchFamily="34" charset="0"/>
                </a:endParaRPr>
              </a:p>
            </c:rich>
          </c:tx>
          <c:layout>
            <c:manualLayout>
              <c:xMode val="edge"/>
              <c:yMode val="edge"/>
              <c:x val="5.7028799543769604E-3"/>
              <c:y val="0.245750947798191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crossAx val="708676671"/>
        <c:crosses val="autoZero"/>
        <c:crossBetween val="between"/>
      </c:valAx>
      <c:spPr>
        <a:noFill/>
        <a:ln>
          <a:noFill/>
        </a:ln>
        <a:effectLst/>
      </c:spPr>
    </c:plotArea>
    <c:legend>
      <c:legendPos val="r"/>
      <c:layout>
        <c:manualLayout>
          <c:xMode val="edge"/>
          <c:yMode val="edge"/>
          <c:x val="0.78638123078926525"/>
          <c:y val="0.3139453922426364"/>
          <c:w val="0.21361875628855745"/>
          <c:h val="0.369202026829979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AEAEA"/>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2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327660</xdr:colOff>
      <xdr:row>0</xdr:row>
      <xdr:rowOff>38100</xdr:rowOff>
    </xdr:from>
    <xdr:to>
      <xdr:col>19</xdr:col>
      <xdr:colOff>327660</xdr:colOff>
      <xdr:row>38</xdr:row>
      <xdr:rowOff>60960</xdr:rowOff>
    </xdr:to>
    <xdr:sp macro="" textlink="">
      <xdr:nvSpPr>
        <xdr:cNvPr id="4" name="Rectangle: Rounded Corners 3">
          <a:extLst>
            <a:ext uri="{FF2B5EF4-FFF2-40B4-BE49-F238E27FC236}">
              <a16:creationId xmlns:a16="http://schemas.microsoft.com/office/drawing/2014/main" id="{19B9424A-2839-68C9-883E-0716B1AEE58C}"/>
            </a:ext>
          </a:extLst>
        </xdr:cNvPr>
        <xdr:cNvSpPr/>
      </xdr:nvSpPr>
      <xdr:spPr>
        <a:xfrm>
          <a:off x="327660" y="38100"/>
          <a:ext cx="12527280" cy="707898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2E63"/>
            </a:solidFill>
          </a:endParaRPr>
        </a:p>
      </xdr:txBody>
    </xdr:sp>
    <xdr:clientData/>
  </xdr:twoCellAnchor>
  <xdr:twoCellAnchor>
    <xdr:from>
      <xdr:col>2</xdr:col>
      <xdr:colOff>525780</xdr:colOff>
      <xdr:row>7</xdr:row>
      <xdr:rowOff>137160</xdr:rowOff>
    </xdr:from>
    <xdr:to>
      <xdr:col>9</xdr:col>
      <xdr:colOff>998220</xdr:colOff>
      <xdr:row>21</xdr:row>
      <xdr:rowOff>38100</xdr:rowOff>
    </xdr:to>
    <xdr:graphicFrame macro="">
      <xdr:nvGraphicFramePr>
        <xdr:cNvPr id="5" name="Chart 4">
          <a:extLst>
            <a:ext uri="{FF2B5EF4-FFF2-40B4-BE49-F238E27FC236}">
              <a16:creationId xmlns:a16="http://schemas.microsoft.com/office/drawing/2014/main" id="{64BA71A4-6962-4C3B-9327-E8B993C80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388620</xdr:colOff>
      <xdr:row>0</xdr:row>
      <xdr:rowOff>68580</xdr:rowOff>
    </xdr:from>
    <xdr:to>
      <xdr:col>18</xdr:col>
      <xdr:colOff>556260</xdr:colOff>
      <xdr:row>2</xdr:row>
      <xdr:rowOff>160020</xdr:rowOff>
    </xdr:to>
    <xdr:sp macro="" textlink="">
      <xdr:nvSpPr>
        <xdr:cNvPr id="2" name="Rectangle: Rounded Corners 1">
          <a:extLst>
            <a:ext uri="{FF2B5EF4-FFF2-40B4-BE49-F238E27FC236}">
              <a16:creationId xmlns:a16="http://schemas.microsoft.com/office/drawing/2014/main" id="{9CC902F9-B304-ECDC-EE81-DD68C85AF1D6}"/>
            </a:ext>
          </a:extLst>
        </xdr:cNvPr>
        <xdr:cNvSpPr/>
      </xdr:nvSpPr>
      <xdr:spPr>
        <a:xfrm>
          <a:off x="998220" y="68580"/>
          <a:ext cx="11475720" cy="457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08D9D6"/>
              </a:solidFill>
              <a:latin typeface="Arial" panose="020B0604020202020204" pitchFamily="34" charset="0"/>
              <a:cs typeface="Arial" panose="020B0604020202020204" pitchFamily="34" charset="0"/>
            </a:rPr>
            <a:t>Digital Transformation And Financial Inclusion Overview </a:t>
          </a:r>
        </a:p>
      </xdr:txBody>
    </xdr:sp>
    <xdr:clientData/>
  </xdr:twoCellAnchor>
  <xdr:oneCellAnchor>
    <xdr:from>
      <xdr:col>1</xdr:col>
      <xdr:colOff>190500</xdr:colOff>
      <xdr:row>9</xdr:row>
      <xdr:rowOff>60960</xdr:rowOff>
    </xdr:from>
    <xdr:ext cx="184731" cy="264560"/>
    <xdr:sp macro="" textlink="">
      <xdr:nvSpPr>
        <xdr:cNvPr id="7" name="TextBox 6">
          <a:extLst>
            <a:ext uri="{FF2B5EF4-FFF2-40B4-BE49-F238E27FC236}">
              <a16:creationId xmlns:a16="http://schemas.microsoft.com/office/drawing/2014/main" id="{B0F5D98B-54BB-E3F8-0772-1BD90E33FB00}"/>
            </a:ext>
          </a:extLst>
        </xdr:cNvPr>
        <xdr:cNvSpPr txBox="1"/>
      </xdr:nvSpPr>
      <xdr:spPr>
        <a:xfrm>
          <a:off x="800100" y="1706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381000</xdr:colOff>
      <xdr:row>3</xdr:row>
      <xdr:rowOff>45720</xdr:rowOff>
    </xdr:from>
    <xdr:to>
      <xdr:col>7</xdr:col>
      <xdr:colOff>182880</xdr:colOff>
      <xdr:row>6</xdr:row>
      <xdr:rowOff>175260</xdr:rowOff>
    </xdr:to>
    <xdr:sp macro="" textlink="">
      <xdr:nvSpPr>
        <xdr:cNvPr id="15" name="Rectangle: Rounded Corners 14">
          <a:extLst>
            <a:ext uri="{FF2B5EF4-FFF2-40B4-BE49-F238E27FC236}">
              <a16:creationId xmlns:a16="http://schemas.microsoft.com/office/drawing/2014/main" id="{C8922A70-F504-02F3-DEB0-ABD8516105A4}"/>
            </a:ext>
          </a:extLst>
        </xdr:cNvPr>
        <xdr:cNvSpPr/>
      </xdr:nvSpPr>
      <xdr:spPr>
        <a:xfrm>
          <a:off x="2819400" y="594360"/>
          <a:ext cx="2011680" cy="73152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449580</xdr:colOff>
      <xdr:row>3</xdr:row>
      <xdr:rowOff>30480</xdr:rowOff>
    </xdr:from>
    <xdr:to>
      <xdr:col>9</xdr:col>
      <xdr:colOff>1021080</xdr:colOff>
      <xdr:row>6</xdr:row>
      <xdr:rowOff>167640</xdr:rowOff>
    </xdr:to>
    <xdr:sp macro="" textlink="">
      <xdr:nvSpPr>
        <xdr:cNvPr id="3" name="Rectangle: Rounded Corners 2">
          <a:extLst>
            <a:ext uri="{FF2B5EF4-FFF2-40B4-BE49-F238E27FC236}">
              <a16:creationId xmlns:a16="http://schemas.microsoft.com/office/drawing/2014/main" id="{977FD4DD-5602-0D45-9B3D-4B3E68545AC0}"/>
            </a:ext>
          </a:extLst>
        </xdr:cNvPr>
        <xdr:cNvSpPr/>
      </xdr:nvSpPr>
      <xdr:spPr>
        <a:xfrm>
          <a:off x="5097780" y="579120"/>
          <a:ext cx="1790700" cy="73914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3</xdr:row>
      <xdr:rowOff>22860</xdr:rowOff>
    </xdr:from>
    <xdr:to>
      <xdr:col>13</xdr:col>
      <xdr:colOff>259080</xdr:colOff>
      <xdr:row>6</xdr:row>
      <xdr:rowOff>152400</xdr:rowOff>
    </xdr:to>
    <xdr:sp macro="" textlink="">
      <xdr:nvSpPr>
        <xdr:cNvPr id="6" name="Rectangle: Rounded Corners 5">
          <a:extLst>
            <a:ext uri="{FF2B5EF4-FFF2-40B4-BE49-F238E27FC236}">
              <a16:creationId xmlns:a16="http://schemas.microsoft.com/office/drawing/2014/main" id="{380651DA-0ABB-9E61-8430-2772FAC7A902}"/>
            </a:ext>
          </a:extLst>
        </xdr:cNvPr>
        <xdr:cNvSpPr/>
      </xdr:nvSpPr>
      <xdr:spPr>
        <a:xfrm>
          <a:off x="7139940" y="571500"/>
          <a:ext cx="2087880" cy="73152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1127760</xdr:colOff>
      <xdr:row>7</xdr:row>
      <xdr:rowOff>144780</xdr:rowOff>
    </xdr:from>
    <xdr:to>
      <xdr:col>18</xdr:col>
      <xdr:colOff>274320</xdr:colOff>
      <xdr:row>21</xdr:row>
      <xdr:rowOff>53340</xdr:rowOff>
    </xdr:to>
    <xdr:graphicFrame macro="">
      <xdr:nvGraphicFramePr>
        <xdr:cNvPr id="12" name="Chart 11">
          <a:extLst>
            <a:ext uri="{FF2B5EF4-FFF2-40B4-BE49-F238E27FC236}">
              <a16:creationId xmlns:a16="http://schemas.microsoft.com/office/drawing/2014/main" id="{286DC62F-DB9F-4C3A-9D99-8EBBCE0E6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518160</xdr:colOff>
      <xdr:row>21</xdr:row>
      <xdr:rowOff>152400</xdr:rowOff>
    </xdr:from>
    <xdr:to>
      <xdr:col>9</xdr:col>
      <xdr:colOff>998220</xdr:colOff>
      <xdr:row>35</xdr:row>
      <xdr:rowOff>68580</xdr:rowOff>
    </xdr:to>
    <xdr:graphicFrame macro="">
      <xdr:nvGraphicFramePr>
        <xdr:cNvPr id="8" name="Chart 7">
          <a:extLst>
            <a:ext uri="{FF2B5EF4-FFF2-40B4-BE49-F238E27FC236}">
              <a16:creationId xmlns:a16="http://schemas.microsoft.com/office/drawing/2014/main" id="{50B42766-DAE3-43C7-AE1B-930F916CF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1127760</xdr:colOff>
      <xdr:row>21</xdr:row>
      <xdr:rowOff>152400</xdr:rowOff>
    </xdr:from>
    <xdr:to>
      <xdr:col>18</xdr:col>
      <xdr:colOff>281940</xdr:colOff>
      <xdr:row>35</xdr:row>
      <xdr:rowOff>76200</xdr:rowOff>
    </xdr:to>
    <xdr:graphicFrame macro="">
      <xdr:nvGraphicFramePr>
        <xdr:cNvPr id="9" name="Chart 8">
          <a:extLst>
            <a:ext uri="{FF2B5EF4-FFF2-40B4-BE49-F238E27FC236}">
              <a16:creationId xmlns:a16="http://schemas.microsoft.com/office/drawing/2014/main" id="{4E94BAB8-E1A5-4A2E-A117-B8C453422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487680</xdr:colOff>
      <xdr:row>3</xdr:row>
      <xdr:rowOff>22860</xdr:rowOff>
    </xdr:from>
    <xdr:to>
      <xdr:col>16</xdr:col>
      <xdr:colOff>571500</xdr:colOff>
      <xdr:row>6</xdr:row>
      <xdr:rowOff>137160</xdr:rowOff>
    </xdr:to>
    <xdr:sp macro="" textlink="">
      <xdr:nvSpPr>
        <xdr:cNvPr id="11" name="Rectangle: Rounded Corners 10">
          <a:extLst>
            <a:ext uri="{FF2B5EF4-FFF2-40B4-BE49-F238E27FC236}">
              <a16:creationId xmlns:a16="http://schemas.microsoft.com/office/drawing/2014/main" id="{AFF8102B-B74B-37BD-9782-E4B87CA9717D}"/>
            </a:ext>
          </a:extLst>
        </xdr:cNvPr>
        <xdr:cNvSpPr/>
      </xdr:nvSpPr>
      <xdr:spPr>
        <a:xfrm>
          <a:off x="9456420" y="571500"/>
          <a:ext cx="1912620" cy="71628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510540</xdr:colOff>
      <xdr:row>7</xdr:row>
      <xdr:rowOff>121920</xdr:rowOff>
    </xdr:from>
    <xdr:to>
      <xdr:col>2</xdr:col>
      <xdr:colOff>449580</xdr:colOff>
      <xdr:row>17</xdr:row>
      <xdr:rowOff>38100</xdr:rowOff>
    </xdr:to>
    <mc:AlternateContent xmlns:mc="http://schemas.openxmlformats.org/markup-compatibility/2006" xmlns:a14="http://schemas.microsoft.com/office/drawing/2010/main">
      <mc:Choice Requires="a14">
        <xdr:graphicFrame macro="">
          <xdr:nvGraphicFramePr>
            <xdr:cNvPr id="13" name="Country_Code 2">
              <a:extLst>
                <a:ext uri="{FF2B5EF4-FFF2-40B4-BE49-F238E27FC236}">
                  <a16:creationId xmlns:a16="http://schemas.microsoft.com/office/drawing/2014/main" id="{E918EA9C-E1B8-4CC7-A725-098ADF36198E}"/>
                </a:ext>
              </a:extLst>
            </xdr:cNvPr>
            <xdr:cNvGraphicFramePr/>
          </xdr:nvGraphicFramePr>
          <xdr:xfrm>
            <a:off x="0" y="0"/>
            <a:ext cx="0" cy="0"/>
          </xdr:xfrm>
          <a:graphic>
            <a:graphicData uri="http://schemas.microsoft.com/office/drawing/2010/slicer">
              <sle:slicer xmlns:sle="http://schemas.microsoft.com/office/drawing/2010/slicer" name="Country_Code 2"/>
            </a:graphicData>
          </a:graphic>
        </xdr:graphicFrame>
      </mc:Choice>
      <mc:Fallback xmlns="">
        <xdr:sp macro="" textlink="">
          <xdr:nvSpPr>
            <xdr:cNvPr id="0" name=""/>
            <xdr:cNvSpPr>
              <a:spLocks noTextEdit="1"/>
            </xdr:cNvSpPr>
          </xdr:nvSpPr>
          <xdr:spPr>
            <a:xfrm>
              <a:off x="510540" y="1455420"/>
              <a:ext cx="115824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220980</xdr:colOff>
      <xdr:row>0</xdr:row>
      <xdr:rowOff>53340</xdr:rowOff>
    </xdr:from>
    <xdr:to>
      <xdr:col>19</xdr:col>
      <xdr:colOff>129540</xdr:colOff>
      <xdr:row>3</xdr:row>
      <xdr:rowOff>106680</xdr:rowOff>
    </xdr:to>
    <xdr:sp macro="" textlink="">
      <xdr:nvSpPr>
        <xdr:cNvPr id="3" name="Rectangle: Rounded Corners 2">
          <a:extLst>
            <a:ext uri="{FF2B5EF4-FFF2-40B4-BE49-F238E27FC236}">
              <a16:creationId xmlns:a16="http://schemas.microsoft.com/office/drawing/2014/main" id="{237079E8-CE9F-5616-35E6-6C5796DB1C37}"/>
            </a:ext>
          </a:extLst>
        </xdr:cNvPr>
        <xdr:cNvSpPr/>
      </xdr:nvSpPr>
      <xdr:spPr>
        <a:xfrm>
          <a:off x="1440180" y="53340"/>
          <a:ext cx="10271760" cy="6019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8D9D6"/>
              </a:solidFill>
              <a:latin typeface="Arial" panose="020B0604020202020204" pitchFamily="34" charset="0"/>
              <a:cs typeface="Arial" panose="020B0604020202020204" pitchFamily="34" charset="0"/>
            </a:rPr>
            <a:t>Digital Transformation Indicators Analysis Across Countries</a:t>
          </a:r>
        </a:p>
      </xdr:txBody>
    </xdr:sp>
    <xdr:clientData/>
  </xdr:twoCellAnchor>
  <xdr:twoCellAnchor editAs="oneCell">
    <xdr:from>
      <xdr:col>0</xdr:col>
      <xdr:colOff>525780</xdr:colOff>
      <xdr:row>7</xdr:row>
      <xdr:rowOff>38100</xdr:rowOff>
    </xdr:from>
    <xdr:to>
      <xdr:col>2</xdr:col>
      <xdr:colOff>480060</xdr:colOff>
      <xdr:row>16</xdr:row>
      <xdr:rowOff>114300</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E17BD12A-1424-454E-9E15-0BE2E4325AC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25780" y="1371600"/>
              <a:ext cx="117348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388620</xdr:colOff>
      <xdr:row>0</xdr:row>
      <xdr:rowOff>53340</xdr:rowOff>
    </xdr:from>
    <xdr:to>
      <xdr:col>21</xdr:col>
      <xdr:colOff>358140</xdr:colOff>
      <xdr:row>38</xdr:row>
      <xdr:rowOff>30480</xdr:rowOff>
    </xdr:to>
    <xdr:sp macro="" textlink="">
      <xdr:nvSpPr>
        <xdr:cNvPr id="8" name="Rectangle: Rounded Corners 7">
          <a:extLst>
            <a:ext uri="{FF2B5EF4-FFF2-40B4-BE49-F238E27FC236}">
              <a16:creationId xmlns:a16="http://schemas.microsoft.com/office/drawing/2014/main" id="{3F9B684A-1F15-2186-3E4B-13176D70E857}"/>
            </a:ext>
          </a:extLst>
        </xdr:cNvPr>
        <xdr:cNvSpPr/>
      </xdr:nvSpPr>
      <xdr:spPr>
        <a:xfrm>
          <a:off x="388620" y="53340"/>
          <a:ext cx="12771120" cy="697992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342900</xdr:colOff>
      <xdr:row>3</xdr:row>
      <xdr:rowOff>76200</xdr:rowOff>
    </xdr:from>
    <xdr:to>
      <xdr:col>8</xdr:col>
      <xdr:colOff>289560</xdr:colOff>
      <xdr:row>6</xdr:row>
      <xdr:rowOff>91440</xdr:rowOff>
    </xdr:to>
    <xdr:sp macro="" textlink="">
      <xdr:nvSpPr>
        <xdr:cNvPr id="11" name="Rectangle: Rounded Corners 10">
          <a:extLst>
            <a:ext uri="{FF2B5EF4-FFF2-40B4-BE49-F238E27FC236}">
              <a16:creationId xmlns:a16="http://schemas.microsoft.com/office/drawing/2014/main" id="{F2896DDF-1C7E-9612-F7E7-BD39BFF7EE6A}"/>
            </a:ext>
          </a:extLst>
        </xdr:cNvPr>
        <xdr:cNvSpPr/>
      </xdr:nvSpPr>
      <xdr:spPr>
        <a:xfrm>
          <a:off x="3390900" y="624840"/>
          <a:ext cx="1775460" cy="61722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548640</xdr:colOff>
      <xdr:row>3</xdr:row>
      <xdr:rowOff>83820</xdr:rowOff>
    </xdr:from>
    <xdr:to>
      <xdr:col>12</xdr:col>
      <xdr:colOff>198120</xdr:colOff>
      <xdr:row>6</xdr:row>
      <xdr:rowOff>83820</xdr:rowOff>
    </xdr:to>
    <xdr:sp macro="" textlink="">
      <xdr:nvSpPr>
        <xdr:cNvPr id="12" name="Rectangle: Rounded Corners 11">
          <a:extLst>
            <a:ext uri="{FF2B5EF4-FFF2-40B4-BE49-F238E27FC236}">
              <a16:creationId xmlns:a16="http://schemas.microsoft.com/office/drawing/2014/main" id="{9365C87C-8F0C-FFB6-B22D-5E4903043D6A}"/>
            </a:ext>
          </a:extLst>
        </xdr:cNvPr>
        <xdr:cNvSpPr/>
      </xdr:nvSpPr>
      <xdr:spPr>
        <a:xfrm>
          <a:off x="5425440" y="632460"/>
          <a:ext cx="2087880" cy="60198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449580</xdr:colOff>
      <xdr:row>3</xdr:row>
      <xdr:rowOff>76200</xdr:rowOff>
    </xdr:from>
    <xdr:to>
      <xdr:col>15</xdr:col>
      <xdr:colOff>533400</xdr:colOff>
      <xdr:row>6</xdr:row>
      <xdr:rowOff>76200</xdr:rowOff>
    </xdr:to>
    <xdr:sp macro="" textlink="">
      <xdr:nvSpPr>
        <xdr:cNvPr id="13" name="Rectangle: Rounded Corners 12">
          <a:extLst>
            <a:ext uri="{FF2B5EF4-FFF2-40B4-BE49-F238E27FC236}">
              <a16:creationId xmlns:a16="http://schemas.microsoft.com/office/drawing/2014/main" id="{7E6F4F94-13DA-004C-26EC-A5DE6A7CFA5D}"/>
            </a:ext>
          </a:extLst>
        </xdr:cNvPr>
        <xdr:cNvSpPr/>
      </xdr:nvSpPr>
      <xdr:spPr>
        <a:xfrm>
          <a:off x="7764780" y="624840"/>
          <a:ext cx="1912620" cy="60198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563880</xdr:colOff>
      <xdr:row>22</xdr:row>
      <xdr:rowOff>0</xdr:rowOff>
    </xdr:from>
    <xdr:to>
      <xdr:col>20</xdr:col>
      <xdr:colOff>198120</xdr:colOff>
      <xdr:row>35</xdr:row>
      <xdr:rowOff>114300</xdr:rowOff>
    </xdr:to>
    <xdr:graphicFrame macro="">
      <xdr:nvGraphicFramePr>
        <xdr:cNvPr id="16" name="Chart 15">
          <a:extLst>
            <a:ext uri="{FF2B5EF4-FFF2-40B4-BE49-F238E27FC236}">
              <a16:creationId xmlns:a16="http://schemas.microsoft.com/office/drawing/2014/main" id="{A96266F3-8175-415F-89AF-B14F06651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7</xdr:row>
      <xdr:rowOff>38100</xdr:rowOff>
    </xdr:from>
    <xdr:to>
      <xdr:col>11</xdr:col>
      <xdr:colOff>441960</xdr:colOff>
      <xdr:row>21</xdr:row>
      <xdr:rowOff>68580</xdr:rowOff>
    </xdr:to>
    <xdr:graphicFrame macro="">
      <xdr:nvGraphicFramePr>
        <xdr:cNvPr id="2" name="Chart 1">
          <a:extLst>
            <a:ext uri="{FF2B5EF4-FFF2-40B4-BE49-F238E27FC236}">
              <a16:creationId xmlns:a16="http://schemas.microsoft.com/office/drawing/2014/main" id="{0FB25882-E194-48E9-9EB3-26FD18216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563880</xdr:colOff>
      <xdr:row>7</xdr:row>
      <xdr:rowOff>38100</xdr:rowOff>
    </xdr:from>
    <xdr:to>
      <xdr:col>20</xdr:col>
      <xdr:colOff>182880</xdr:colOff>
      <xdr:row>21</xdr:row>
      <xdr:rowOff>76200</xdr:rowOff>
    </xdr:to>
    <xdr:graphicFrame macro="">
      <xdr:nvGraphicFramePr>
        <xdr:cNvPr id="4" name="Chart 3">
          <a:extLst>
            <a:ext uri="{FF2B5EF4-FFF2-40B4-BE49-F238E27FC236}">
              <a16:creationId xmlns:a16="http://schemas.microsoft.com/office/drawing/2014/main" id="{36998F93-CBD0-4B9E-A9A8-8FA2BB59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571500</xdr:colOff>
      <xdr:row>22</xdr:row>
      <xdr:rowOff>7620</xdr:rowOff>
    </xdr:from>
    <xdr:to>
      <xdr:col>11</xdr:col>
      <xdr:colOff>449580</xdr:colOff>
      <xdr:row>35</xdr:row>
      <xdr:rowOff>106680</xdr:rowOff>
    </xdr:to>
    <xdr:graphicFrame macro="">
      <xdr:nvGraphicFramePr>
        <xdr:cNvPr id="5" name="Chart 4">
          <a:extLst>
            <a:ext uri="{FF2B5EF4-FFF2-40B4-BE49-F238E27FC236}">
              <a16:creationId xmlns:a16="http://schemas.microsoft.com/office/drawing/2014/main" id="{2B51C63A-F8CF-4B30-8380-7794564ED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449580</xdr:colOff>
      <xdr:row>0</xdr:row>
      <xdr:rowOff>38100</xdr:rowOff>
    </xdr:from>
    <xdr:to>
      <xdr:col>21</xdr:col>
      <xdr:colOff>213360</xdr:colOff>
      <xdr:row>41</xdr:row>
      <xdr:rowOff>15240</xdr:rowOff>
    </xdr:to>
    <xdr:sp macro="" textlink="">
      <xdr:nvSpPr>
        <xdr:cNvPr id="2" name="Rectangle: Rounded Corners 1">
          <a:extLst>
            <a:ext uri="{FF2B5EF4-FFF2-40B4-BE49-F238E27FC236}">
              <a16:creationId xmlns:a16="http://schemas.microsoft.com/office/drawing/2014/main" id="{C7AE1774-F83F-57ED-A5E0-389C610D97C0}"/>
            </a:ext>
          </a:extLst>
        </xdr:cNvPr>
        <xdr:cNvSpPr/>
      </xdr:nvSpPr>
      <xdr:spPr>
        <a:xfrm>
          <a:off x="449580" y="38100"/>
          <a:ext cx="12710160" cy="753618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220980</xdr:colOff>
      <xdr:row>0</xdr:row>
      <xdr:rowOff>99060</xdr:rowOff>
    </xdr:from>
    <xdr:to>
      <xdr:col>18</xdr:col>
      <xdr:colOff>487680</xdr:colOff>
      <xdr:row>3</xdr:row>
      <xdr:rowOff>45720</xdr:rowOff>
    </xdr:to>
    <xdr:sp macro="" textlink="">
      <xdr:nvSpPr>
        <xdr:cNvPr id="3" name="Rectangle: Rounded Corners 2">
          <a:extLst>
            <a:ext uri="{FF2B5EF4-FFF2-40B4-BE49-F238E27FC236}">
              <a16:creationId xmlns:a16="http://schemas.microsoft.com/office/drawing/2014/main" id="{CE5A61E3-92AF-49FF-A896-57C406346A84}"/>
            </a:ext>
          </a:extLst>
        </xdr:cNvPr>
        <xdr:cNvSpPr/>
      </xdr:nvSpPr>
      <xdr:spPr>
        <a:xfrm>
          <a:off x="2049780" y="99060"/>
          <a:ext cx="9555480" cy="495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08D9D6"/>
              </a:solidFill>
              <a:latin typeface="Arial" panose="020B0604020202020204" pitchFamily="34" charset="0"/>
              <a:cs typeface="Arial" panose="020B0604020202020204" pitchFamily="34" charset="0"/>
            </a:rPr>
            <a:t>Impact Of Digital Transformation on Financial Inclusion</a:t>
          </a:r>
        </a:p>
      </xdr:txBody>
    </xdr:sp>
    <xdr:clientData/>
  </xdr:twoCellAnchor>
  <xdr:twoCellAnchor editAs="oneCell">
    <xdr:from>
      <xdr:col>1</xdr:col>
      <xdr:colOff>15240</xdr:colOff>
      <xdr:row>7</xdr:row>
      <xdr:rowOff>99060</xdr:rowOff>
    </xdr:from>
    <xdr:to>
      <xdr:col>2</xdr:col>
      <xdr:colOff>579120</xdr:colOff>
      <xdr:row>16</xdr:row>
      <xdr:rowOff>175260</xdr:rowOff>
    </xdr:to>
    <mc:AlternateContent xmlns:mc="http://schemas.openxmlformats.org/markup-compatibility/2006" xmlns:a14="http://schemas.microsoft.com/office/drawing/2010/main">
      <mc:Choice Requires="a14">
        <xdr:graphicFrame macro="">
          <xdr:nvGraphicFramePr>
            <xdr:cNvPr id="4" name="Country 2">
              <a:extLst>
                <a:ext uri="{FF2B5EF4-FFF2-40B4-BE49-F238E27FC236}">
                  <a16:creationId xmlns:a16="http://schemas.microsoft.com/office/drawing/2014/main" id="{CD2B08B1-A99B-4EA1-928D-15837B5C5AA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24840" y="1440180"/>
              <a:ext cx="117348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373380</xdr:colOff>
      <xdr:row>3</xdr:row>
      <xdr:rowOff>76200</xdr:rowOff>
    </xdr:from>
    <xdr:to>
      <xdr:col>5</xdr:col>
      <xdr:colOff>533400</xdr:colOff>
      <xdr:row>6</xdr:row>
      <xdr:rowOff>114300</xdr:rowOff>
    </xdr:to>
    <xdr:sp macro="" textlink="">
      <xdr:nvSpPr>
        <xdr:cNvPr id="5" name="Rectangle: Rounded Corners 4">
          <a:extLst>
            <a:ext uri="{FF2B5EF4-FFF2-40B4-BE49-F238E27FC236}">
              <a16:creationId xmlns:a16="http://schemas.microsoft.com/office/drawing/2014/main" id="{70496800-69E7-A429-4D20-D520B03A889A}"/>
            </a:ext>
          </a:extLst>
        </xdr:cNvPr>
        <xdr:cNvSpPr/>
      </xdr:nvSpPr>
      <xdr:spPr>
        <a:xfrm>
          <a:off x="1592580" y="624840"/>
          <a:ext cx="2133600" cy="64770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160020</xdr:colOff>
      <xdr:row>3</xdr:row>
      <xdr:rowOff>83820</xdr:rowOff>
    </xdr:from>
    <xdr:to>
      <xdr:col>9</xdr:col>
      <xdr:colOff>281940</xdr:colOff>
      <xdr:row>6</xdr:row>
      <xdr:rowOff>114300</xdr:rowOff>
    </xdr:to>
    <xdr:sp macro="" textlink="">
      <xdr:nvSpPr>
        <xdr:cNvPr id="6" name="Rectangle: Rounded Corners 5">
          <a:extLst>
            <a:ext uri="{FF2B5EF4-FFF2-40B4-BE49-F238E27FC236}">
              <a16:creationId xmlns:a16="http://schemas.microsoft.com/office/drawing/2014/main" id="{09F06B38-6118-9751-31C9-53A0EE2784BC}"/>
            </a:ext>
          </a:extLst>
        </xdr:cNvPr>
        <xdr:cNvSpPr/>
      </xdr:nvSpPr>
      <xdr:spPr>
        <a:xfrm>
          <a:off x="3962400" y="632460"/>
          <a:ext cx="1950720" cy="64008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502920</xdr:colOff>
      <xdr:row>3</xdr:row>
      <xdr:rowOff>76200</xdr:rowOff>
    </xdr:from>
    <xdr:to>
      <xdr:col>13</xdr:col>
      <xdr:colOff>304800</xdr:colOff>
      <xdr:row>6</xdr:row>
      <xdr:rowOff>114300</xdr:rowOff>
    </xdr:to>
    <xdr:sp macro="" textlink="">
      <xdr:nvSpPr>
        <xdr:cNvPr id="7" name="Rectangle: Rounded Corners 6">
          <a:extLst>
            <a:ext uri="{FF2B5EF4-FFF2-40B4-BE49-F238E27FC236}">
              <a16:creationId xmlns:a16="http://schemas.microsoft.com/office/drawing/2014/main" id="{01C96857-82D1-C98E-7743-DCB168991DCF}"/>
            </a:ext>
          </a:extLst>
        </xdr:cNvPr>
        <xdr:cNvSpPr/>
      </xdr:nvSpPr>
      <xdr:spPr>
        <a:xfrm>
          <a:off x="6134100" y="624840"/>
          <a:ext cx="2240280" cy="64770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510540</xdr:colOff>
      <xdr:row>3</xdr:row>
      <xdr:rowOff>76200</xdr:rowOff>
    </xdr:from>
    <xdr:to>
      <xdr:col>17</xdr:col>
      <xdr:colOff>83820</xdr:colOff>
      <xdr:row>6</xdr:row>
      <xdr:rowOff>121920</xdr:rowOff>
    </xdr:to>
    <xdr:sp macro="" textlink="">
      <xdr:nvSpPr>
        <xdr:cNvPr id="8" name="Rectangle: Rounded Corners 7">
          <a:extLst>
            <a:ext uri="{FF2B5EF4-FFF2-40B4-BE49-F238E27FC236}">
              <a16:creationId xmlns:a16="http://schemas.microsoft.com/office/drawing/2014/main" id="{05B05C2B-7800-2252-9CED-7D62B38FDE95}"/>
            </a:ext>
          </a:extLst>
        </xdr:cNvPr>
        <xdr:cNvSpPr/>
      </xdr:nvSpPr>
      <xdr:spPr>
        <a:xfrm>
          <a:off x="8580120" y="624840"/>
          <a:ext cx="2011680" cy="65532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304800</xdr:colOff>
      <xdr:row>3</xdr:row>
      <xdr:rowOff>76200</xdr:rowOff>
    </xdr:from>
    <xdr:to>
      <xdr:col>20</xdr:col>
      <xdr:colOff>403860</xdr:colOff>
      <xdr:row>6</xdr:row>
      <xdr:rowOff>121920</xdr:rowOff>
    </xdr:to>
    <xdr:sp macro="" textlink="">
      <xdr:nvSpPr>
        <xdr:cNvPr id="9" name="Rectangle: Rounded Corners 8">
          <a:extLst>
            <a:ext uri="{FF2B5EF4-FFF2-40B4-BE49-F238E27FC236}">
              <a16:creationId xmlns:a16="http://schemas.microsoft.com/office/drawing/2014/main" id="{A73D0802-7541-BF31-9F3A-46F2A9108E14}"/>
            </a:ext>
          </a:extLst>
        </xdr:cNvPr>
        <xdr:cNvSpPr/>
      </xdr:nvSpPr>
      <xdr:spPr>
        <a:xfrm>
          <a:off x="10812780" y="624840"/>
          <a:ext cx="1927860" cy="65532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281940</xdr:colOff>
      <xdr:row>20</xdr:row>
      <xdr:rowOff>137160</xdr:rowOff>
    </xdr:from>
    <xdr:to>
      <xdr:col>20</xdr:col>
      <xdr:colOff>487680</xdr:colOff>
      <xdr:row>33</xdr:row>
      <xdr:rowOff>129540</xdr:rowOff>
    </xdr:to>
    <xdr:graphicFrame macro="">
      <xdr:nvGraphicFramePr>
        <xdr:cNvPr id="12" name="Chart 11">
          <a:extLst>
            <a:ext uri="{FF2B5EF4-FFF2-40B4-BE49-F238E27FC236}">
              <a16:creationId xmlns:a16="http://schemas.microsoft.com/office/drawing/2014/main" id="{8141D2B1-E4A2-4849-B315-44C9A4D1B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20</xdr:row>
      <xdr:rowOff>129540</xdr:rowOff>
    </xdr:from>
    <xdr:to>
      <xdr:col>11</xdr:col>
      <xdr:colOff>152400</xdr:colOff>
      <xdr:row>33</xdr:row>
      <xdr:rowOff>129540</xdr:rowOff>
    </xdr:to>
    <xdr:graphicFrame macro="">
      <xdr:nvGraphicFramePr>
        <xdr:cNvPr id="13" name="Chart 12">
          <a:extLst>
            <a:ext uri="{FF2B5EF4-FFF2-40B4-BE49-F238E27FC236}">
              <a16:creationId xmlns:a16="http://schemas.microsoft.com/office/drawing/2014/main" id="{3AF2F92F-5B5D-4711-930F-0D6817E82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xdr:colOff>
      <xdr:row>7</xdr:row>
      <xdr:rowOff>68580</xdr:rowOff>
    </xdr:from>
    <xdr:to>
      <xdr:col>11</xdr:col>
      <xdr:colOff>167640</xdr:colOff>
      <xdr:row>20</xdr:row>
      <xdr:rowOff>15240</xdr:rowOff>
    </xdr:to>
    <xdr:graphicFrame macro="">
      <xdr:nvGraphicFramePr>
        <xdr:cNvPr id="15" name="Chart 14">
          <a:extLst>
            <a:ext uri="{FF2B5EF4-FFF2-40B4-BE49-F238E27FC236}">
              <a16:creationId xmlns:a16="http://schemas.microsoft.com/office/drawing/2014/main" id="{B5FB936E-0365-4F37-8910-A55B508C0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281940</xdr:colOff>
      <xdr:row>7</xdr:row>
      <xdr:rowOff>76200</xdr:rowOff>
    </xdr:from>
    <xdr:to>
      <xdr:col>20</xdr:col>
      <xdr:colOff>487680</xdr:colOff>
      <xdr:row>20</xdr:row>
      <xdr:rowOff>7620</xdr:rowOff>
    </xdr:to>
    <xdr:graphicFrame macro="">
      <xdr:nvGraphicFramePr>
        <xdr:cNvPr id="10" name="Chart 9">
          <a:extLst>
            <a:ext uri="{FF2B5EF4-FFF2-40B4-BE49-F238E27FC236}">
              <a16:creationId xmlns:a16="http://schemas.microsoft.com/office/drawing/2014/main" id="{FB589A4C-AC29-49CB-B679-7B0BB133A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259080</xdr:colOff>
      <xdr:row>34</xdr:row>
      <xdr:rowOff>76200</xdr:rowOff>
    </xdr:from>
    <xdr:to>
      <xdr:col>14</xdr:col>
      <xdr:colOff>594360</xdr:colOff>
      <xdr:row>39</xdr:row>
      <xdr:rowOff>106680</xdr:rowOff>
    </xdr:to>
    <xdr:sp macro="" textlink="">
      <xdr:nvSpPr>
        <xdr:cNvPr id="11" name="Rectangle 10">
          <a:extLst>
            <a:ext uri="{FF2B5EF4-FFF2-40B4-BE49-F238E27FC236}">
              <a16:creationId xmlns:a16="http://schemas.microsoft.com/office/drawing/2014/main" id="{F1B8FE6E-34C1-4949-BD10-AD4AF1D1375C}"/>
            </a:ext>
          </a:extLst>
        </xdr:cNvPr>
        <xdr:cNvSpPr/>
      </xdr:nvSpPr>
      <xdr:spPr>
        <a:xfrm>
          <a:off x="4671060" y="6355080"/>
          <a:ext cx="4602480" cy="944880"/>
        </a:xfrm>
        <a:prstGeom prst="rect">
          <a:avLst/>
        </a:prstGeom>
        <a:solidFill>
          <a:schemeClr val="tx1">
            <a:lumMod val="95000"/>
            <a:lumOff val="5000"/>
          </a:schemeClr>
        </a:solid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8D9D6"/>
            </a:solidFill>
          </a:endParaRPr>
        </a:p>
        <a:p>
          <a:pPr algn="l"/>
          <a:r>
            <a:rPr lang="en-US" sz="1200" b="0">
              <a:solidFill>
                <a:srgbClr val="08D9D6"/>
              </a:solidFill>
              <a:latin typeface="Arial" panose="020B0604020202020204" pitchFamily="34" charset="0"/>
              <a:cs typeface="Arial" panose="020B0604020202020204" pitchFamily="34" charset="0"/>
            </a:rPr>
            <a:t>E-Government shows the strongest impact on financial inclusion (R² = 0.738), followed by digital payments (R² = 0.629), while internet has a weaker effect (R² = 0.391)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426720</xdr:colOff>
      <xdr:row>0</xdr:row>
      <xdr:rowOff>45720</xdr:rowOff>
    </xdr:from>
    <xdr:to>
      <xdr:col>20</xdr:col>
      <xdr:colOff>274320</xdr:colOff>
      <xdr:row>28</xdr:row>
      <xdr:rowOff>53340</xdr:rowOff>
    </xdr:to>
    <xdr:sp macro="" textlink="">
      <xdr:nvSpPr>
        <xdr:cNvPr id="2" name="Rectangle: Rounded Corners 1">
          <a:extLst>
            <a:ext uri="{FF2B5EF4-FFF2-40B4-BE49-F238E27FC236}">
              <a16:creationId xmlns:a16="http://schemas.microsoft.com/office/drawing/2014/main" id="{A057BD9D-6206-D921-FB39-A396B073D972}"/>
            </a:ext>
          </a:extLst>
        </xdr:cNvPr>
        <xdr:cNvSpPr/>
      </xdr:nvSpPr>
      <xdr:spPr>
        <a:xfrm>
          <a:off x="426720" y="45720"/>
          <a:ext cx="12039600" cy="518160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556260</xdr:colOff>
      <xdr:row>0</xdr:row>
      <xdr:rowOff>99060</xdr:rowOff>
    </xdr:from>
    <xdr:to>
      <xdr:col>16</xdr:col>
      <xdr:colOff>480060</xdr:colOff>
      <xdr:row>3</xdr:row>
      <xdr:rowOff>38100</xdr:rowOff>
    </xdr:to>
    <xdr:sp macro="" textlink="">
      <xdr:nvSpPr>
        <xdr:cNvPr id="3" name="Rectangle: Rounded Corners 2">
          <a:extLst>
            <a:ext uri="{FF2B5EF4-FFF2-40B4-BE49-F238E27FC236}">
              <a16:creationId xmlns:a16="http://schemas.microsoft.com/office/drawing/2014/main" id="{2204EB94-7802-7404-2C89-842B6F399AE2}"/>
            </a:ext>
          </a:extLst>
        </xdr:cNvPr>
        <xdr:cNvSpPr/>
      </xdr:nvSpPr>
      <xdr:spPr>
        <a:xfrm>
          <a:off x="2994660" y="99060"/>
          <a:ext cx="7239000" cy="4876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8D9D6"/>
              </a:solidFill>
              <a:latin typeface="Arial" panose="020B0604020202020204" pitchFamily="34" charset="0"/>
              <a:cs typeface="Arial" panose="020B0604020202020204" pitchFamily="34" charset="0"/>
            </a:rPr>
            <a:t>Growth Of Digital Transformation And Financial Inclusion</a:t>
          </a:r>
        </a:p>
      </xdr:txBody>
    </xdr:sp>
    <xdr:clientData/>
  </xdr:twoCellAnchor>
  <xdr:twoCellAnchor>
    <xdr:from>
      <xdr:col>2</xdr:col>
      <xdr:colOff>38100</xdr:colOff>
      <xdr:row>3</xdr:row>
      <xdr:rowOff>22860</xdr:rowOff>
    </xdr:from>
    <xdr:to>
      <xdr:col>5</xdr:col>
      <xdr:colOff>594360</xdr:colOff>
      <xdr:row>6</xdr:row>
      <xdr:rowOff>137160</xdr:rowOff>
    </xdr:to>
    <xdr:sp macro="" textlink="">
      <xdr:nvSpPr>
        <xdr:cNvPr id="4" name="Rectangle: Rounded Corners 3">
          <a:extLst>
            <a:ext uri="{FF2B5EF4-FFF2-40B4-BE49-F238E27FC236}">
              <a16:creationId xmlns:a16="http://schemas.microsoft.com/office/drawing/2014/main" id="{9F075DBF-A8BC-532A-E50F-C2309371A975}"/>
            </a:ext>
          </a:extLst>
        </xdr:cNvPr>
        <xdr:cNvSpPr/>
      </xdr:nvSpPr>
      <xdr:spPr>
        <a:xfrm>
          <a:off x="1257300" y="571500"/>
          <a:ext cx="2385060" cy="71628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198120</xdr:colOff>
      <xdr:row>3</xdr:row>
      <xdr:rowOff>45720</xdr:rowOff>
    </xdr:from>
    <xdr:to>
      <xdr:col>9</xdr:col>
      <xdr:colOff>464820</xdr:colOff>
      <xdr:row>6</xdr:row>
      <xdr:rowOff>144780</xdr:rowOff>
    </xdr:to>
    <xdr:sp macro="" textlink="">
      <xdr:nvSpPr>
        <xdr:cNvPr id="5" name="Rectangle: Rounded Corners 4">
          <a:extLst>
            <a:ext uri="{FF2B5EF4-FFF2-40B4-BE49-F238E27FC236}">
              <a16:creationId xmlns:a16="http://schemas.microsoft.com/office/drawing/2014/main" id="{A16EAD3F-9B31-BA9D-8A82-B9070400529E}"/>
            </a:ext>
          </a:extLst>
        </xdr:cNvPr>
        <xdr:cNvSpPr/>
      </xdr:nvSpPr>
      <xdr:spPr>
        <a:xfrm>
          <a:off x="3855720" y="594360"/>
          <a:ext cx="2095500" cy="70104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60960</xdr:colOff>
      <xdr:row>3</xdr:row>
      <xdr:rowOff>45720</xdr:rowOff>
    </xdr:from>
    <xdr:to>
      <xdr:col>13</xdr:col>
      <xdr:colOff>0</xdr:colOff>
      <xdr:row>6</xdr:row>
      <xdr:rowOff>121920</xdr:rowOff>
    </xdr:to>
    <xdr:sp macro="" textlink="">
      <xdr:nvSpPr>
        <xdr:cNvPr id="6" name="Rectangle: Rounded Corners 5">
          <a:extLst>
            <a:ext uri="{FF2B5EF4-FFF2-40B4-BE49-F238E27FC236}">
              <a16:creationId xmlns:a16="http://schemas.microsoft.com/office/drawing/2014/main" id="{08D73EF7-1380-2C77-BEAA-0EE6F0974FE7}"/>
            </a:ext>
          </a:extLst>
        </xdr:cNvPr>
        <xdr:cNvSpPr/>
      </xdr:nvSpPr>
      <xdr:spPr>
        <a:xfrm>
          <a:off x="6156960" y="594360"/>
          <a:ext cx="1767840" cy="67818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220980</xdr:colOff>
      <xdr:row>3</xdr:row>
      <xdr:rowOff>60960</xdr:rowOff>
    </xdr:from>
    <xdr:to>
      <xdr:col>15</xdr:col>
      <xdr:colOff>426720</xdr:colOff>
      <xdr:row>6</xdr:row>
      <xdr:rowOff>106680</xdr:rowOff>
    </xdr:to>
    <xdr:sp macro="" textlink="">
      <xdr:nvSpPr>
        <xdr:cNvPr id="7" name="Rectangle: Rounded Corners 6">
          <a:extLst>
            <a:ext uri="{FF2B5EF4-FFF2-40B4-BE49-F238E27FC236}">
              <a16:creationId xmlns:a16="http://schemas.microsoft.com/office/drawing/2014/main" id="{A8C3F20A-AB17-CA75-A689-1F403A5D0168}"/>
            </a:ext>
          </a:extLst>
        </xdr:cNvPr>
        <xdr:cNvSpPr/>
      </xdr:nvSpPr>
      <xdr:spPr>
        <a:xfrm>
          <a:off x="8145780" y="609600"/>
          <a:ext cx="1424940" cy="64770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xdr:colOff>
      <xdr:row>3</xdr:row>
      <xdr:rowOff>38100</xdr:rowOff>
    </xdr:from>
    <xdr:to>
      <xdr:col>19</xdr:col>
      <xdr:colOff>137160</xdr:colOff>
      <xdr:row>6</xdr:row>
      <xdr:rowOff>106680</xdr:rowOff>
    </xdr:to>
    <xdr:sp macro="" textlink="">
      <xdr:nvSpPr>
        <xdr:cNvPr id="8" name="Rectangle: Rounded Corners 7">
          <a:extLst>
            <a:ext uri="{FF2B5EF4-FFF2-40B4-BE49-F238E27FC236}">
              <a16:creationId xmlns:a16="http://schemas.microsoft.com/office/drawing/2014/main" id="{74073AB1-0E24-EADF-549C-D13B24549CCC}"/>
            </a:ext>
          </a:extLst>
        </xdr:cNvPr>
        <xdr:cNvSpPr/>
      </xdr:nvSpPr>
      <xdr:spPr>
        <a:xfrm>
          <a:off x="9784080" y="586740"/>
          <a:ext cx="1935480" cy="670560"/>
        </a:xfrm>
        <a:prstGeom prst="roundRect">
          <a:avLst/>
        </a:prstGeom>
        <a:noFill/>
        <a:ln>
          <a:solidFill>
            <a:srgbClr val="FF2E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45720</xdr:colOff>
      <xdr:row>7</xdr:row>
      <xdr:rowOff>76201</xdr:rowOff>
    </xdr:from>
    <xdr:to>
      <xdr:col>4</xdr:col>
      <xdr:colOff>533400</xdr:colOff>
      <xdr:row>16</xdr:row>
      <xdr:rowOff>129541</xdr:rowOff>
    </xdr:to>
    <mc:AlternateContent xmlns:mc="http://schemas.openxmlformats.org/markup-compatibility/2006" xmlns:a14="http://schemas.microsoft.com/office/drawing/2010/main">
      <mc:Choice Requires="a14">
        <xdr:graphicFrame macro="">
          <xdr:nvGraphicFramePr>
            <xdr:cNvPr id="10" name="Country 3">
              <a:extLst>
                <a:ext uri="{FF2B5EF4-FFF2-40B4-BE49-F238E27FC236}">
                  <a16:creationId xmlns:a16="http://schemas.microsoft.com/office/drawing/2014/main" id="{27237A84-B66B-4984-89AE-17D858F97294}"/>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264920" y="1409701"/>
              <a:ext cx="170688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xdr:colOff>
      <xdr:row>7</xdr:row>
      <xdr:rowOff>76200</xdr:rowOff>
    </xdr:from>
    <xdr:to>
      <xdr:col>19</xdr:col>
      <xdr:colOff>129540</xdr:colOff>
      <xdr:row>25</xdr:row>
      <xdr:rowOff>15240</xdr:rowOff>
    </xdr:to>
    <xdr:graphicFrame macro="">
      <xdr:nvGraphicFramePr>
        <xdr:cNvPr id="11" name="Chart 10">
          <a:extLst>
            <a:ext uri="{FF2B5EF4-FFF2-40B4-BE49-F238E27FC236}">
              <a16:creationId xmlns:a16="http://schemas.microsoft.com/office/drawing/2014/main" id="{A169D74E-CF31-429F-ABF7-2E3DE6616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27</xdr:row>
      <xdr:rowOff>125730</xdr:rowOff>
    </xdr:from>
    <xdr:to>
      <xdr:col>12</xdr:col>
      <xdr:colOff>594360</xdr:colOff>
      <xdr:row>42</xdr:row>
      <xdr:rowOff>125730</xdr:rowOff>
    </xdr:to>
    <xdr:graphicFrame macro="">
      <xdr:nvGraphicFramePr>
        <xdr:cNvPr id="5" name="Chart 4">
          <a:extLst>
            <a:ext uri="{FF2B5EF4-FFF2-40B4-BE49-F238E27FC236}">
              <a16:creationId xmlns:a16="http://schemas.microsoft.com/office/drawing/2014/main" id="{14F87DAF-BB4B-ACFE-ADA2-8D33C162D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45</xdr:row>
      <xdr:rowOff>140970</xdr:rowOff>
    </xdr:from>
    <xdr:to>
      <xdr:col>12</xdr:col>
      <xdr:colOff>541020</xdr:colOff>
      <xdr:row>60</xdr:row>
      <xdr:rowOff>140970</xdr:rowOff>
    </xdr:to>
    <xdr:graphicFrame macro="">
      <xdr:nvGraphicFramePr>
        <xdr:cNvPr id="6" name="Chart 5">
          <a:extLst>
            <a:ext uri="{FF2B5EF4-FFF2-40B4-BE49-F238E27FC236}">
              <a16:creationId xmlns:a16="http://schemas.microsoft.com/office/drawing/2014/main" id="{7E98D4B1-372E-90DC-21CB-F2AE0A5A2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106680</xdr:colOff>
      <xdr:row>8</xdr:row>
      <xdr:rowOff>95250</xdr:rowOff>
    </xdr:from>
    <xdr:to>
      <xdr:col>12</xdr:col>
      <xdr:colOff>1562100</xdr:colOff>
      <xdr:row>23</xdr:row>
      <xdr:rowOff>129540</xdr:rowOff>
    </xdr:to>
    <xdr:graphicFrame macro="">
      <xdr:nvGraphicFramePr>
        <xdr:cNvPr id="7" name="Chart 6">
          <a:extLst>
            <a:ext uri="{FF2B5EF4-FFF2-40B4-BE49-F238E27FC236}">
              <a16:creationId xmlns:a16="http://schemas.microsoft.com/office/drawing/2014/main" id="{2ECCE891-E1A0-6809-5001-F2A426414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66</xdr:row>
      <xdr:rowOff>179070</xdr:rowOff>
    </xdr:from>
    <xdr:to>
      <xdr:col>12</xdr:col>
      <xdr:colOff>563880</xdr:colOff>
      <xdr:row>81</xdr:row>
      <xdr:rowOff>179070</xdr:rowOff>
    </xdr:to>
    <xdr:graphicFrame macro="">
      <xdr:nvGraphicFramePr>
        <xdr:cNvPr id="8" name="Chart 7">
          <a:extLst>
            <a:ext uri="{FF2B5EF4-FFF2-40B4-BE49-F238E27FC236}">
              <a16:creationId xmlns:a16="http://schemas.microsoft.com/office/drawing/2014/main" id="{71B28719-0F50-4572-C2B5-0DD9AF785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723900</xdr:colOff>
      <xdr:row>76</xdr:row>
      <xdr:rowOff>121921</xdr:rowOff>
    </xdr:from>
    <xdr:to>
      <xdr:col>5</xdr:col>
      <xdr:colOff>60960</xdr:colOff>
      <xdr:row>86</xdr:row>
      <xdr:rowOff>22860</xdr:rowOff>
    </xdr:to>
    <mc:AlternateContent xmlns:mc="http://schemas.openxmlformats.org/markup-compatibility/2006" xmlns:a14="http://schemas.microsoft.com/office/drawing/2010/main">
      <mc:Choice Requires="a14">
        <xdr:graphicFrame macro="">
          <xdr:nvGraphicFramePr>
            <xdr:cNvPr id="2" name="Country_Code">
              <a:extLst>
                <a:ext uri="{FF2B5EF4-FFF2-40B4-BE49-F238E27FC236}">
                  <a16:creationId xmlns:a16="http://schemas.microsoft.com/office/drawing/2014/main" id="{2D05194B-5866-62A1-7D77-333E27A5B1E5}"/>
                </a:ext>
              </a:extLst>
            </xdr:cNvPr>
            <xdr:cNvGraphicFramePr/>
          </xdr:nvGraphicFramePr>
          <xdr:xfrm>
            <a:off x="0" y="0"/>
            <a:ext cx="0" cy="0"/>
          </xdr:xfrm>
          <a:graphic>
            <a:graphicData uri="http://schemas.microsoft.com/office/drawing/2010/slicer">
              <sle:slicer xmlns:sle="http://schemas.microsoft.com/office/drawing/2010/slicer" name="Country_Code"/>
            </a:graphicData>
          </a:graphic>
        </xdr:graphicFrame>
      </mc:Choice>
      <mc:Fallback xmlns="">
        <xdr:sp macro="" textlink="">
          <xdr:nvSpPr>
            <xdr:cNvPr id="0" name=""/>
            <xdr:cNvSpPr>
              <a:spLocks noTextEdit="1"/>
            </xdr:cNvSpPr>
          </xdr:nvSpPr>
          <xdr:spPr>
            <a:xfrm>
              <a:off x="7033260" y="14051281"/>
              <a:ext cx="115824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1524000</xdr:colOff>
      <xdr:row>0</xdr:row>
      <xdr:rowOff>148590</xdr:rowOff>
    </xdr:from>
    <xdr:to>
      <xdr:col>8</xdr:col>
      <xdr:colOff>297180</xdr:colOff>
      <xdr:row>13</xdr:row>
      <xdr:rowOff>30480</xdr:rowOff>
    </xdr:to>
    <xdr:graphicFrame macro="">
      <xdr:nvGraphicFramePr>
        <xdr:cNvPr id="2" name="Chart 1">
          <a:extLst>
            <a:ext uri="{FF2B5EF4-FFF2-40B4-BE49-F238E27FC236}">
              <a16:creationId xmlns:a16="http://schemas.microsoft.com/office/drawing/2014/main" id="{2DF70750-E398-369A-ECF1-62124C963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30</xdr:row>
      <xdr:rowOff>72390</xdr:rowOff>
    </xdr:from>
    <xdr:to>
      <xdr:col>10</xdr:col>
      <xdr:colOff>205740</xdr:colOff>
      <xdr:row>45</xdr:row>
      <xdr:rowOff>72390</xdr:rowOff>
    </xdr:to>
    <xdr:graphicFrame macro="">
      <xdr:nvGraphicFramePr>
        <xdr:cNvPr id="3" name="Chart 2">
          <a:extLst>
            <a:ext uri="{FF2B5EF4-FFF2-40B4-BE49-F238E27FC236}">
              <a16:creationId xmlns:a16="http://schemas.microsoft.com/office/drawing/2014/main" id="{F5068008-4639-2488-33FB-1E68BE3DF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365760</xdr:colOff>
      <xdr:row>46</xdr:row>
      <xdr:rowOff>19050</xdr:rowOff>
    </xdr:from>
    <xdr:to>
      <xdr:col>9</xdr:col>
      <xdr:colOff>213360</xdr:colOff>
      <xdr:row>61</xdr:row>
      <xdr:rowOff>19050</xdr:rowOff>
    </xdr:to>
    <xdr:graphicFrame macro="">
      <xdr:nvGraphicFramePr>
        <xdr:cNvPr id="6" name="Chart 5">
          <a:extLst>
            <a:ext uri="{FF2B5EF4-FFF2-40B4-BE49-F238E27FC236}">
              <a16:creationId xmlns:a16="http://schemas.microsoft.com/office/drawing/2014/main" id="{DFDFB049-0A5D-543B-22EC-C27F691C3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533400</xdr:colOff>
      <xdr:row>60</xdr:row>
      <xdr:rowOff>83821</xdr:rowOff>
    </xdr:from>
    <xdr:to>
      <xdr:col>11</xdr:col>
      <xdr:colOff>556260</xdr:colOff>
      <xdr:row>70</xdr:row>
      <xdr:rowOff>7621</xdr:rowOff>
    </xdr:to>
    <mc:AlternateContent xmlns:mc="http://schemas.openxmlformats.org/markup-compatibility/2006" xmlns:a14="http://schemas.microsoft.com/office/drawing/2010/main">
      <mc:Choice Requires="a14">
        <xdr:graphicFrame macro="">
          <xdr:nvGraphicFramePr>
            <xdr:cNvPr id="7" name="Country_Code 1">
              <a:extLst>
                <a:ext uri="{FF2B5EF4-FFF2-40B4-BE49-F238E27FC236}">
                  <a16:creationId xmlns:a16="http://schemas.microsoft.com/office/drawing/2014/main" id="{EF38D2F4-D723-065F-C4C9-DB674D201CCD}"/>
                </a:ext>
              </a:extLst>
            </xdr:cNvPr>
            <xdr:cNvGraphicFramePr/>
          </xdr:nvGraphicFramePr>
          <xdr:xfrm>
            <a:off x="0" y="0"/>
            <a:ext cx="0" cy="0"/>
          </xdr:xfrm>
          <a:graphic>
            <a:graphicData uri="http://schemas.microsoft.com/office/drawing/2010/slicer">
              <sle:slicer xmlns:sle="http://schemas.microsoft.com/office/drawing/2010/slicer" name="Country_Code 1"/>
            </a:graphicData>
          </a:graphic>
        </xdr:graphicFrame>
      </mc:Choice>
      <mc:Fallback xmlns="">
        <xdr:sp macro="" textlink="">
          <xdr:nvSpPr>
            <xdr:cNvPr id="0" name=""/>
            <xdr:cNvSpPr>
              <a:spLocks noTextEdit="1"/>
            </xdr:cNvSpPr>
          </xdr:nvSpPr>
          <xdr:spPr>
            <a:xfrm>
              <a:off x="11064240" y="11056621"/>
              <a:ext cx="124206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1272540</xdr:colOff>
      <xdr:row>62</xdr:row>
      <xdr:rowOff>95250</xdr:rowOff>
    </xdr:from>
    <xdr:to>
      <xdr:col>7</xdr:col>
      <xdr:colOff>220980</xdr:colOff>
      <xdr:row>77</xdr:row>
      <xdr:rowOff>95250</xdr:rowOff>
    </xdr:to>
    <xdr:graphicFrame macro="">
      <xdr:nvGraphicFramePr>
        <xdr:cNvPr id="5" name="Chart 4">
          <a:extLst>
            <a:ext uri="{FF2B5EF4-FFF2-40B4-BE49-F238E27FC236}">
              <a16:creationId xmlns:a16="http://schemas.microsoft.com/office/drawing/2014/main" id="{1B3FB2A0-1CF1-102F-6D7A-FC814D33E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1615440</xdr:colOff>
      <xdr:row>13</xdr:row>
      <xdr:rowOff>179070</xdr:rowOff>
    </xdr:from>
    <xdr:to>
      <xdr:col>7</xdr:col>
      <xdr:colOff>289560</xdr:colOff>
      <xdr:row>28</xdr:row>
      <xdr:rowOff>179070</xdr:rowOff>
    </xdr:to>
    <xdr:graphicFrame macro="">
      <xdr:nvGraphicFramePr>
        <xdr:cNvPr id="8" name="Chart 7">
          <a:extLst>
            <a:ext uri="{FF2B5EF4-FFF2-40B4-BE49-F238E27FC236}">
              <a16:creationId xmlns:a16="http://schemas.microsoft.com/office/drawing/2014/main" id="{9C7D35FE-3D3A-D56A-75C9-F5FA87618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434340</xdr:colOff>
      <xdr:row>37</xdr:row>
      <xdr:rowOff>19050</xdr:rowOff>
    </xdr:from>
    <xdr:to>
      <xdr:col>8</xdr:col>
      <xdr:colOff>701040</xdr:colOff>
      <xdr:row>54</xdr:row>
      <xdr:rowOff>19050</xdr:rowOff>
    </xdr:to>
    <xdr:graphicFrame macro="">
      <xdr:nvGraphicFramePr>
        <xdr:cNvPr id="8" name="Chart 7">
          <a:extLst>
            <a:ext uri="{FF2B5EF4-FFF2-40B4-BE49-F238E27FC236}">
              <a16:creationId xmlns:a16="http://schemas.microsoft.com/office/drawing/2014/main" id="{64724696-54CA-7ADF-496C-C3340795A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xdr:row>
      <xdr:rowOff>118110</xdr:rowOff>
    </xdr:from>
    <xdr:to>
      <xdr:col>8</xdr:col>
      <xdr:colOff>60960</xdr:colOff>
      <xdr:row>18</xdr:row>
      <xdr:rowOff>7620</xdr:rowOff>
    </xdr:to>
    <xdr:graphicFrame macro="">
      <xdr:nvGraphicFramePr>
        <xdr:cNvPr id="2" name="Chart 1">
          <a:extLst>
            <a:ext uri="{FF2B5EF4-FFF2-40B4-BE49-F238E27FC236}">
              <a16:creationId xmlns:a16="http://schemas.microsoft.com/office/drawing/2014/main" id="{4C2F2E38-5E37-E44C-55DA-F433D8D91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769620</xdr:colOff>
      <xdr:row>19</xdr:row>
      <xdr:rowOff>179070</xdr:rowOff>
    </xdr:from>
    <xdr:to>
      <xdr:col>8</xdr:col>
      <xdr:colOff>281940</xdr:colOff>
      <xdr:row>34</xdr:row>
      <xdr:rowOff>179070</xdr:rowOff>
    </xdr:to>
    <xdr:graphicFrame macro="">
      <xdr:nvGraphicFramePr>
        <xdr:cNvPr id="3" name="Chart 2">
          <a:extLst>
            <a:ext uri="{FF2B5EF4-FFF2-40B4-BE49-F238E27FC236}">
              <a16:creationId xmlns:a16="http://schemas.microsoft.com/office/drawing/2014/main" id="{18557C87-13CD-F4D7-9128-023D80D3A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55</xdr:row>
      <xdr:rowOff>49530</xdr:rowOff>
    </xdr:from>
    <xdr:to>
      <xdr:col>9</xdr:col>
      <xdr:colOff>45720</xdr:colOff>
      <xdr:row>72</xdr:row>
      <xdr:rowOff>7620</xdr:rowOff>
    </xdr:to>
    <xdr:graphicFrame macro="">
      <xdr:nvGraphicFramePr>
        <xdr:cNvPr id="11" name="Chart 10">
          <a:extLst>
            <a:ext uri="{FF2B5EF4-FFF2-40B4-BE49-F238E27FC236}">
              <a16:creationId xmlns:a16="http://schemas.microsoft.com/office/drawing/2014/main" id="{F5BDC138-E269-B95F-C9F4-1767B7158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304800</xdr:colOff>
      <xdr:row>31</xdr:row>
      <xdr:rowOff>144781</xdr:rowOff>
    </xdr:from>
    <xdr:to>
      <xdr:col>13</xdr:col>
      <xdr:colOff>1493520</xdr:colOff>
      <xdr:row>41</xdr:row>
      <xdr:rowOff>1</xdr:rowOff>
    </xdr:to>
    <mc:AlternateContent xmlns:mc="http://schemas.openxmlformats.org/markup-compatibility/2006" xmlns:a14="http://schemas.microsoft.com/office/drawing/2010/main">
      <mc:Choice Requires="a14">
        <xdr:graphicFrame macro="">
          <xdr:nvGraphicFramePr>
            <xdr:cNvPr id="2" name="Country_Code 3">
              <a:extLst>
                <a:ext uri="{FF2B5EF4-FFF2-40B4-BE49-F238E27FC236}">
                  <a16:creationId xmlns:a16="http://schemas.microsoft.com/office/drawing/2014/main" id="{5CBF51ED-C4B9-6309-24D9-7985790CF52D}"/>
                </a:ext>
              </a:extLst>
            </xdr:cNvPr>
            <xdr:cNvGraphicFramePr/>
          </xdr:nvGraphicFramePr>
          <xdr:xfrm>
            <a:off x="0" y="0"/>
            <a:ext cx="0" cy="0"/>
          </xdr:xfrm>
          <a:graphic>
            <a:graphicData uri="http://schemas.microsoft.com/office/drawing/2010/slicer">
              <sle:slicer xmlns:sle="http://schemas.microsoft.com/office/drawing/2010/slicer" name="Country_Code 3"/>
            </a:graphicData>
          </a:graphic>
        </xdr:graphicFrame>
      </mc:Choice>
      <mc:Fallback xmlns="">
        <xdr:sp macro="" textlink="">
          <xdr:nvSpPr>
            <xdr:cNvPr id="0" name=""/>
            <xdr:cNvSpPr>
              <a:spLocks noTextEdit="1"/>
            </xdr:cNvSpPr>
          </xdr:nvSpPr>
          <xdr:spPr>
            <a:xfrm>
              <a:off x="13609320" y="5814061"/>
              <a:ext cx="118872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571500</xdr:colOff>
      <xdr:row>69</xdr:row>
      <xdr:rowOff>114300</xdr:rowOff>
    </xdr:from>
    <xdr:to>
      <xdr:col>8</xdr:col>
      <xdr:colOff>678180</xdr:colOff>
      <xdr:row>83</xdr:row>
      <xdr:rowOff>20955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15F19566-F514-D5FF-5044-4E2BC38DCB1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791700" y="12733020"/>
              <a:ext cx="17526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922020</xdr:colOff>
      <xdr:row>83</xdr:row>
      <xdr:rowOff>125730</xdr:rowOff>
    </xdr:from>
    <xdr:to>
      <xdr:col>6</xdr:col>
      <xdr:colOff>381000</xdr:colOff>
      <xdr:row>98</xdr:row>
      <xdr:rowOff>125730</xdr:rowOff>
    </xdr:to>
    <xdr:graphicFrame macro="">
      <xdr:nvGraphicFramePr>
        <xdr:cNvPr id="4" name="Chart 3">
          <a:extLst>
            <a:ext uri="{FF2B5EF4-FFF2-40B4-BE49-F238E27FC236}">
              <a16:creationId xmlns:a16="http://schemas.microsoft.com/office/drawing/2014/main" id="{FDF4F4D1-FBE0-7FE5-6CDE-C782B1FFE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1.489689814814" createdVersion="8" refreshedVersion="8" minRefreshableVersion="3" recordCount="50" xr:uid="{E2626290-74B5-4178-9F4E-115A4EDCA379}">
  <cacheSource type="worksheet">
    <worksheetSource name="Fact_Digital_Transformation_Index"/>
  </cacheSource>
  <cacheFields count="21">
    <cacheField name="Code_ID" numFmtId="0">
      <sharedItems/>
    </cacheField>
    <cacheField name="Country_Code" numFmtId="0">
      <sharedItems count="5">
        <s v="EGY"/>
        <s v="SAU"/>
        <s v="IND"/>
        <s v="GBR"/>
        <s v="ARE"/>
      </sharedItems>
    </cacheField>
    <cacheField name="Country" numFmtId="0">
      <sharedItems count="5">
        <s v="Egypt, Arab Rep"/>
        <s v="Saudi Arabia"/>
        <s v="India"/>
        <s v="United Kingdom"/>
        <s v="United Arab Emirates"/>
      </sharedItems>
    </cacheField>
    <cacheField name="Year" numFmtId="0">
      <sharedItems containsSemiMixedTypes="0" containsString="0" containsNumber="1" containsInteger="1" minValue="2015" maxValue="2024" count="10">
        <n v="2015"/>
        <n v="2024"/>
        <n v="2019"/>
        <n v="2017"/>
        <n v="2022"/>
        <n v="2020"/>
        <n v="2021"/>
        <n v="2018"/>
        <n v="2016"/>
        <n v="2023"/>
      </sharedItems>
    </cacheField>
    <cacheField name="Internet_Access_Index" numFmtId="0">
      <sharedItems containsSemiMixedTypes="0" containsString="0" containsNumber="1" minValue="0" maxValue="0.93215748196173653"/>
    </cacheField>
    <cacheField name="Internet_Affordability_Index" numFmtId="0">
      <sharedItems containsSemiMixedTypes="0" containsString="0" containsNumber="1" minValue="6.4594264783135791E-2" maxValue="0.98194323088563895"/>
    </cacheField>
    <cacheField name="Internet_Quality_Index" numFmtId="0">
      <sharedItems containsString="0" containsBlank="1" containsNumber="1" minValue="6.6798628384887064E-3" maxValue="1"/>
    </cacheField>
    <cacheField name="Internet_All_Index" numFmtId="0">
      <sharedItems containsSemiMixedTypes="0" containsString="0" containsNumber="1" minValue="5.2823426366916469E-2" maxValue="0.95780394419774162"/>
    </cacheField>
    <cacheField name="EGDI_Rank" numFmtId="0">
      <sharedItems containsString="0" containsBlank="1" containsNumber="1" containsInteger="1" minValue="1" maxValue="114"/>
    </cacheField>
    <cacheField name="OSI_Value" numFmtId="0">
      <sharedItems containsString="0" containsBlank="1" containsNumber="1" minValue="0.47100999999999998" maxValue="1"/>
    </cacheField>
    <cacheField name="TII_Value" numFmtId="0">
      <sharedItems containsString="0" containsBlank="1" containsNumber="1" minValue="0.14298" maxValue="1"/>
    </cacheField>
    <cacheField name="HCI_Value" numFmtId="0">
      <sharedItems containsString="0" containsBlank="1" containsNumber="1" minValue="0.50188999999999995" maxValue="0.94498000000000004"/>
    </cacheField>
    <cacheField name="EPI_Value" numFmtId="0">
      <sharedItems containsString="0" containsBlank="1" containsNumber="1" minValue="0.3523" maxValue="1"/>
    </cacheField>
    <cacheField name="EPI_Rank" numFmtId="0">
      <sharedItems containsString="0" containsBlank="1" containsNumber="1" containsInteger="1" minValue="1" maxValue="109"/>
    </cacheField>
    <cacheField name="E_GOV_Index" numFmtId="0">
      <sharedItems containsString="0" containsBlank="1" containsNumber="1" minValue="0.45940999999999993" maxValue="0.96024000000000009"/>
    </cacheField>
    <cacheField name="Digital_Payments_Index" numFmtId="0">
      <sharedItems containsString="0" containsBlank="1" containsNumber="1" minValue="1.6183336258612589E-2" maxValue="0.85156351097590477"/>
    </cacheField>
    <cacheField name="FI_Access_Index" numFmtId="0">
      <sharedItems containsString="0" containsBlank="1" containsNumber="1" minValue="0" maxValue="1"/>
    </cacheField>
    <cacheField name="FI_Usage_Index" numFmtId="0">
      <sharedItems containsString="0" containsBlank="1" containsNumber="1" minValue="0" maxValue="1"/>
    </cacheField>
    <cacheField name="FI_All_Index" numFmtId="0">
      <sharedItems containsString="0" containsBlank="1" containsNumber="1" minValue="0" maxValue="0.97651417755760028"/>
    </cacheField>
    <cacheField name="Digital_Transformation_Index" numFmtId="0">
      <sharedItems containsSemiMixedTypes="0" containsString="0" containsNumber="1" minValue="4.6304806255642837E-2" maxValue="0.95553863876553746"/>
    </cacheField>
    <cacheField name="COVID_Impact" numFmtId="0">
      <sharedItems/>
    </cacheField>
  </cacheFields>
  <extLst>
    <ext xmlns:x14="http://schemas.microsoft.com/office/spreadsheetml/2009/9/main" uri="{725AE2AE-9491-48be-B2B4-4EB974FC3084}">
      <x14:pivotCacheDefinition pivotCacheId="8449745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2.430632407406" createdVersion="5" refreshedVersion="8" minRefreshableVersion="3" recordCount="0" supportSubquery="1" supportAdvancedDrill="1" xr:uid="{9A2BE7B0-C96C-4C97-8894-9D917DD1D66B}">
  <cacheSource type="external" connectionId="7"/>
  <cacheFields count="6">
    <cacheField name="[Growth].[Country].[Country]" caption="Country" numFmtId="0" hierarchy="20" level="1">
      <sharedItems count="5">
        <s v="Egypt, Arab Rep"/>
        <s v="India"/>
        <s v="Saudi Arabia"/>
        <s v="United Arab Emirates"/>
        <s v="United Kingdom"/>
      </sharedItems>
    </cacheField>
    <cacheField name="[Measures].[Average of FI_Growth%]" caption="Average of FI_Growth%" numFmtId="0" hierarchy="35" level="32767"/>
    <cacheField name="[Measures].[Average of EGOV_Growth%]" caption="Average of EGOV_Growth%" numFmtId="0" hierarchy="36" level="32767"/>
    <cacheField name="[Measures].[Average of Internet Penetration Growth%]" caption="Average of Internet Penetration Growth%" numFmtId="0" hierarchy="37" level="32767"/>
    <cacheField name="[Measures].[Average of Digital _Payments Growth%]" caption="Average of Digital _Payments Growth%" numFmtId="0" hierarchy="38" level="32767"/>
    <cacheField name="[Measures].[Average of DT_Growth%]" caption="Average of DT_Growth%" numFmtId="0" hierarchy="34" level="32767"/>
  </cacheFields>
  <cacheHierarchies count="39">
    <cacheHierarchy uniqueName="[Fact_Digital_Transformation_Index].[Code_ID]" caption="Code_ID" attribute="1" defaultMemberUniqueName="[Fact_Digital_Transformation_Index].[Code_ID].[All]" allUniqueName="[Fact_Digital_Transformation_Index].[Code_ID].[All]" dimensionUniqueName="[Fact_Digital_Transformation_Index]" displayFolder="" count="0" memberValueDatatype="130" unbalanced="0"/>
    <cacheHierarchy uniqueName="[Fact_Digital_Transformation_Index].[Country_Code]" caption="Country_Code" attribute="1" defaultMemberUniqueName="[Fact_Digital_Transformation_Index].[Country_Code].[All]" allUniqueName="[Fact_Digital_Transformation_Index].[Country_Code].[All]" dimensionUniqueName="[Fact_Digital_Transformation_Index]" displayFolder="" count="0" memberValueDatatype="130" unbalanced="0"/>
    <cacheHierarchy uniqueName="[Fact_Digital_Transformation_Index].[Country]" caption="Country" attribute="1" defaultMemberUniqueName="[Fact_Digital_Transformation_Index].[Country].[All]" allUniqueName="[Fact_Digital_Transformation_Index].[Country].[All]" dimensionUniqueName="[Fact_Digital_Transformation_Index]" displayFolder="" count="0" memberValueDatatype="130" unbalanced="0"/>
    <cacheHierarchy uniqueName="[Fact_Digital_Transformation_Index].[Year]" caption="Year" attribute="1" defaultMemberUniqueName="[Fact_Digital_Transformation_Index].[Year].[All]" allUniqueName="[Fact_Digital_Transformation_Index].[Year].[All]" dimensionUniqueName="[Fact_Digital_Transformation_Index]" displayFolder="" count="0" memberValueDatatype="20" unbalanced="0"/>
    <cacheHierarchy uniqueName="[Fact_Digital_Transformation_Index].[Internet_Access_Index]" caption="Internet_Access_Index" attribute="1" defaultMemberUniqueName="[Fact_Digital_Transformation_Index].[Internet_Access_Index].[All]" allUniqueName="[Fact_Digital_Transformation_Index].[Internet_Access_Index].[All]" dimensionUniqueName="[Fact_Digital_Transformation_Index]" displayFolder="" count="0" memberValueDatatype="5" unbalanced="0"/>
    <cacheHierarchy uniqueName="[Fact_Digital_Transformation_Index].[Internet_Affordability_Index]" caption="Internet_Affordability_Index" attribute="1" defaultMemberUniqueName="[Fact_Digital_Transformation_Index].[Internet_Affordability_Index].[All]" allUniqueName="[Fact_Digital_Transformation_Index].[Internet_Affordability_Index].[All]" dimensionUniqueName="[Fact_Digital_Transformation_Index]" displayFolder="" count="0" memberValueDatatype="5" unbalanced="0"/>
    <cacheHierarchy uniqueName="[Fact_Digital_Transformation_Index].[Internet_Quality_Index]" caption="Internet_Quality_Index" attribute="1" defaultMemberUniqueName="[Fact_Digital_Transformation_Index].[Internet_Quality_Index].[All]" allUniqueName="[Fact_Digital_Transformation_Index].[Internet_Quality_Index].[All]" dimensionUniqueName="[Fact_Digital_Transformation_Index]" displayFolder="" count="0" memberValueDatatype="5" unbalanced="0"/>
    <cacheHierarchy uniqueName="[Fact_Digital_Transformation_Index].[Internet_All_Index]" caption="Internet_All_Index" attribute="1" defaultMemberUniqueName="[Fact_Digital_Transformation_Index].[Internet_All_Index].[All]" allUniqueName="[Fact_Digital_Transformation_Index].[Internet_All_Index].[All]" dimensionUniqueName="[Fact_Digital_Transformation_Index]" displayFolder="" count="0" memberValueDatatype="5" unbalanced="0"/>
    <cacheHierarchy uniqueName="[Fact_Digital_Transformation_Index].[EGDI_Rank]" caption="EGDI_Rank" attribute="1" defaultMemberUniqueName="[Fact_Digital_Transformation_Index].[EGDI_Rank].[All]" allUniqueName="[Fact_Digital_Transformation_Index].[EGDI_Rank].[All]" dimensionUniqueName="[Fact_Digital_Transformation_Index]" displayFolder="" count="0" memberValueDatatype="20" unbalanced="0"/>
    <cacheHierarchy uniqueName="[Fact_Digital_Transformation_Index].[OSI_Value]" caption="OSI_Value" attribute="1" defaultMemberUniqueName="[Fact_Digital_Transformation_Index].[OSI_Value].[All]" allUniqueName="[Fact_Digital_Transformation_Index].[OSI_Value].[All]" dimensionUniqueName="[Fact_Digital_Transformation_Index]" displayFolder="" count="0" memberValueDatatype="5" unbalanced="0"/>
    <cacheHierarchy uniqueName="[Fact_Digital_Transformation_Index].[TII_Value]" caption="TII_Value" attribute="1" defaultMemberUniqueName="[Fact_Digital_Transformation_Index].[TII_Value].[All]" allUniqueName="[Fact_Digital_Transformation_Index].[TII_Value].[All]" dimensionUniqueName="[Fact_Digital_Transformation_Index]" displayFolder="" count="0" memberValueDatatype="5" unbalanced="0"/>
    <cacheHierarchy uniqueName="[Fact_Digital_Transformation_Index].[HCI_Value]" caption="HCI_Value" attribute="1" defaultMemberUniqueName="[Fact_Digital_Transformation_Index].[HCI_Value].[All]" allUniqueName="[Fact_Digital_Transformation_Index].[HCI_Value].[All]" dimensionUniqueName="[Fact_Digital_Transformation_Index]" displayFolder="" count="0" memberValueDatatype="5" unbalanced="0"/>
    <cacheHierarchy uniqueName="[Fact_Digital_Transformation_Index].[EPI_Value]" caption="EPI_Value" attribute="1" defaultMemberUniqueName="[Fact_Digital_Transformation_Index].[EPI_Value].[All]" allUniqueName="[Fact_Digital_Transformation_Index].[EPI_Value].[All]" dimensionUniqueName="[Fact_Digital_Transformation_Index]" displayFolder="" count="0" memberValueDatatype="5" unbalanced="0"/>
    <cacheHierarchy uniqueName="[Fact_Digital_Transformation_Index].[EPI_Rank]" caption="EPI_Rank" attribute="1" defaultMemberUniqueName="[Fact_Digital_Transformation_Index].[EPI_Rank].[All]" allUniqueName="[Fact_Digital_Transformation_Index].[EPI_Rank].[All]" dimensionUniqueName="[Fact_Digital_Transformation_Index]" displayFolder="" count="0" memberValueDatatype="20" unbalanced="0"/>
    <cacheHierarchy uniqueName="[Fact_Digital_Transformation_Index].[E_GOV_Index]" caption="E_GOV_Index" attribute="1" defaultMemberUniqueName="[Fact_Digital_Transformation_Index].[E_GOV_Index].[All]" allUniqueName="[Fact_Digital_Transformation_Index].[E_GOV_Index].[All]" dimensionUniqueName="[Fact_Digital_Transformation_Index]" displayFolder="" count="0" memberValueDatatype="5" unbalanced="0"/>
    <cacheHierarchy uniqueName="[Fact_Digital_Transformation_Index].[Digital_Payments_Index]" caption="Digital_Payments_Index" attribute="1" defaultMemberUniqueName="[Fact_Digital_Transformation_Index].[Digital_Payments_Index].[All]" allUniqueName="[Fact_Digital_Transformation_Index].[Digital_Payments_Index].[All]" dimensionUniqueName="[Fact_Digital_Transformation_Index]" displayFolder="" count="0" memberValueDatatype="5" unbalanced="0"/>
    <cacheHierarchy uniqueName="[Fact_Digital_Transformation_Index].[FI_Access_Index]" caption="FI_Access_Index" attribute="1" defaultMemberUniqueName="[Fact_Digital_Transformation_Index].[FI_Access_Index].[All]" allUniqueName="[Fact_Digital_Transformation_Index].[FI_Access_Index].[All]" dimensionUniqueName="[Fact_Digital_Transformation_Index]" displayFolder="" count="0" memberValueDatatype="5" unbalanced="0"/>
    <cacheHierarchy uniqueName="[Fact_Digital_Transformation_Index].[FI_Usage_Index]" caption="FI_Usage_Index" attribute="1" defaultMemberUniqueName="[Fact_Digital_Transformation_Index].[FI_Usage_Index].[All]" allUniqueName="[Fact_Digital_Transformation_Index].[FI_Usage_Index].[All]" dimensionUniqueName="[Fact_Digital_Transformation_Index]" displayFolder="" count="0" memberValueDatatype="5" unbalanced="0"/>
    <cacheHierarchy uniqueName="[Fact_Digital_Transformation_Index].[FI_All_Index]" caption="FI_All_Index" attribute="1" defaultMemberUniqueName="[Fact_Digital_Transformation_Index].[FI_All_Index].[All]" allUniqueName="[Fact_Digital_Transformation_Index].[FI_All_Index].[All]" dimensionUniqueName="[Fact_Digital_Transformation_Index]" displayFolder="" count="0" memberValueDatatype="5" unbalanced="0"/>
    <cacheHierarchy uniqueName="[Fact_Digital_Transformation_Index].[Digital_Tranformation_Index]" caption="Digital_Tranformation_Index" attribute="1" defaultMemberUniqueName="[Fact_Digital_Transformation_Index].[Digital_Tranformation_Index].[All]" allUniqueName="[Fact_Digital_Transformation_Index].[Digital_Tranformation_Index].[All]" dimensionUniqueName="[Fact_Digital_Transformation_Index]" displayFolder="" count="0" memberValueDatatype="5" unbalanced="0"/>
    <cacheHierarchy uniqueName="[Growth].[Country]" caption="Country" attribute="1" defaultMemberUniqueName="[Growth].[Country].[All]" allUniqueName="[Growth].[Country].[All]" dimensionUniqueName="[Growth]" displayFolder="" count="2" memberValueDatatype="130" unbalanced="0">
      <fieldsUsage count="2">
        <fieldUsage x="-1"/>
        <fieldUsage x="0"/>
      </fieldsUsage>
    </cacheHierarchy>
    <cacheHierarchy uniqueName="[Growth].[DT_Growth%]" caption="DT_Growth%" attribute="1" defaultMemberUniqueName="[Growth].[DT_Growth%].[All]" allUniqueName="[Growth].[DT_Growth%].[All]" dimensionUniqueName="[Growth]" displayFolder="" count="0" memberValueDatatype="5" unbalanced="0"/>
    <cacheHierarchy uniqueName="[Growth].[FI_Growth%]" caption="FI_Growth%" attribute="1" defaultMemberUniqueName="[Growth].[FI_Growth%].[All]" allUniqueName="[Growth].[FI_Growth%].[All]" dimensionUniqueName="[Growth]" displayFolder="" count="0" memberValueDatatype="5" unbalanced="0"/>
    <cacheHierarchy uniqueName="[Growth].[EGOV_Growth%]" caption="EGOV_Growth%" attribute="1" defaultMemberUniqueName="[Growth].[EGOV_Growth%].[All]" allUniqueName="[Growth].[EGOV_Growth%].[All]" dimensionUniqueName="[Growth]" displayFolder="" count="0" memberValueDatatype="5" unbalanced="0"/>
    <cacheHierarchy uniqueName="[Growth].[Internet Penetration Growth%]" caption="Internet Penetration Growth%" attribute="1" defaultMemberUniqueName="[Growth].[Internet Penetration Growth%].[All]" allUniqueName="[Growth].[Internet Penetration Growth%].[All]" dimensionUniqueName="[Growth]" displayFolder="" count="0" memberValueDatatype="5" unbalanced="0"/>
    <cacheHierarchy uniqueName="[Growth].[Digital _Payments Growth%]" caption="Digital _Payments Growth%" attribute="1" defaultMemberUniqueName="[Growth].[Digital _Payments Growth%].[All]" allUniqueName="[Growth].[Digital _Payments Growth%].[All]" dimensionUniqueName="[Growth]" displayFolder="" count="0" memberValueDatatype="5" unbalanced="0"/>
    <cacheHierarchy uniqueName="[Measures].[__XL_Count Fact_Digital_Transformation_Index]" caption="__XL_Count Fact_Digital_Transformation_Index" measure="1" displayFolder="" measureGroup="Fact_Digital_Transformation_Index" count="0" hidden="1"/>
    <cacheHierarchy uniqueName="[Measures].[__XL_Count Growth]" caption="__XL_Count Growth" measure="1" displayFolder="" measureGroup="Growth" count="0" hidden="1"/>
    <cacheHierarchy uniqueName="[Measures].[__No measures defined]" caption="__No measures defined" measure="1" displayFolder="" count="0" hidden="1"/>
    <cacheHierarchy uniqueName="[Measures].[Sum of DT_Growth%]" caption="Sum of DT_Growth%" measure="1" displayFolder="" measureGroup="Growth" count="0" hidden="1">
      <extLst>
        <ext xmlns:x15="http://schemas.microsoft.com/office/spreadsheetml/2010/11/main" uri="{B97F6D7D-B522-45F9-BDA1-12C45D357490}">
          <x15:cacheHierarchy aggregatedColumn="21"/>
        </ext>
      </extLst>
    </cacheHierarchy>
    <cacheHierarchy uniqueName="[Measures].[Sum of FI_Growth%]" caption="Sum of FI_Growth%" measure="1" displayFolder="" measureGroup="Growth" count="0" hidden="1">
      <extLst>
        <ext xmlns:x15="http://schemas.microsoft.com/office/spreadsheetml/2010/11/main" uri="{B97F6D7D-B522-45F9-BDA1-12C45D357490}">
          <x15:cacheHierarchy aggregatedColumn="22"/>
        </ext>
      </extLst>
    </cacheHierarchy>
    <cacheHierarchy uniqueName="[Measures].[Sum of EGOV_Growth%]" caption="Sum of EGOV_Growth%" measure="1" displayFolder="" measureGroup="Growth" count="0" hidden="1">
      <extLst>
        <ext xmlns:x15="http://schemas.microsoft.com/office/spreadsheetml/2010/11/main" uri="{B97F6D7D-B522-45F9-BDA1-12C45D357490}">
          <x15:cacheHierarchy aggregatedColumn="23"/>
        </ext>
      </extLst>
    </cacheHierarchy>
    <cacheHierarchy uniqueName="[Measures].[Sum of Internet Penetration Growth%]" caption="Sum of Internet Penetration Growth%" measure="1" displayFolder="" measureGroup="Growth" count="0" hidden="1">
      <extLst>
        <ext xmlns:x15="http://schemas.microsoft.com/office/spreadsheetml/2010/11/main" uri="{B97F6D7D-B522-45F9-BDA1-12C45D357490}">
          <x15:cacheHierarchy aggregatedColumn="24"/>
        </ext>
      </extLst>
    </cacheHierarchy>
    <cacheHierarchy uniqueName="[Measures].[Sum of Digital _Payments Growth%]" caption="Sum of Digital _Payments Growth%" measure="1" displayFolder="" measureGroup="Growth" count="0" hidden="1">
      <extLst>
        <ext xmlns:x15="http://schemas.microsoft.com/office/spreadsheetml/2010/11/main" uri="{B97F6D7D-B522-45F9-BDA1-12C45D357490}">
          <x15:cacheHierarchy aggregatedColumn="25"/>
        </ext>
      </extLst>
    </cacheHierarchy>
    <cacheHierarchy uniqueName="[Measures].[Average of DT_Growth%]" caption="Average of DT_Growth%" measure="1" displayFolder="" measureGroup="Growth" count="0" oneField="1" hidden="1">
      <fieldsUsage count="1">
        <fieldUsage x="5"/>
      </fieldsUsage>
      <extLst>
        <ext xmlns:x15="http://schemas.microsoft.com/office/spreadsheetml/2010/11/main" uri="{B97F6D7D-B522-45F9-BDA1-12C45D357490}">
          <x15:cacheHierarchy aggregatedColumn="21"/>
        </ext>
      </extLst>
    </cacheHierarchy>
    <cacheHierarchy uniqueName="[Measures].[Average of FI_Growth%]" caption="Average of FI_Growth%" measure="1" displayFolder="" measureGroup="Growth"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EGOV_Growth%]" caption="Average of EGOV_Growth%" measure="1" displayFolder="" measureGroup="Growth"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Internet Penetration Growth%]" caption="Average of Internet Penetration Growth%" measure="1" displayFolder="" measureGroup="Growth" count="0" oneField="1" hidden="1">
      <fieldsUsage count="1">
        <fieldUsage x="3"/>
      </fieldsUsage>
      <extLst>
        <ext xmlns:x15="http://schemas.microsoft.com/office/spreadsheetml/2010/11/main" uri="{B97F6D7D-B522-45F9-BDA1-12C45D357490}">
          <x15:cacheHierarchy aggregatedColumn="24"/>
        </ext>
      </extLst>
    </cacheHierarchy>
    <cacheHierarchy uniqueName="[Measures].[Average of Digital _Payments Growth%]" caption="Average of Digital _Payments Growth%" measure="1" displayFolder="" measureGroup="Growth" count="0" oneField="1" hidden="1">
      <fieldsUsage count="1">
        <fieldUsage x="4"/>
      </fieldsUsage>
      <extLst>
        <ext xmlns:x15="http://schemas.microsoft.com/office/spreadsheetml/2010/11/main" uri="{B97F6D7D-B522-45F9-BDA1-12C45D357490}">
          <x15:cacheHierarchy aggregatedColumn="25"/>
        </ext>
      </extLst>
    </cacheHierarchy>
  </cacheHierarchies>
  <kpis count="0"/>
  <dimensions count="3">
    <dimension name="Fact_Digital_Transformation_Index" uniqueName="[Fact_Digital_Transformation_Index]" caption="Fact_Digital_Transformation_Index"/>
    <dimension name="Growth" uniqueName="[Growth]" caption="Growth"/>
    <dimension measure="1" name="Measures" uniqueName="[Measures]" caption="Measures"/>
  </dimensions>
  <measureGroups count="2">
    <measureGroup name="Fact_Digital_Transformation_Index" caption="Fact_Digital_Transformation_Index"/>
    <measureGroup name="Growth" caption="Growth"/>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2.430630555558" createdVersion="3" refreshedVersion="8" minRefreshableVersion="3" recordCount="0" supportSubquery="1" supportAdvancedDrill="1" xr:uid="{046939AA-75C9-4681-93EF-3EB77D860E3E}">
  <cacheSource type="external" connectionId="7">
    <extLst>
      <ext xmlns:x14="http://schemas.microsoft.com/office/spreadsheetml/2009/9/main" uri="{F057638F-6D5F-4e77-A914-E7F072B9BCA8}">
        <x14:sourceConnection name="ThisWorkbookDataModel"/>
      </ext>
    </extLst>
  </cacheSource>
  <cacheFields count="0"/>
  <cacheHierarchies count="39">
    <cacheHierarchy uniqueName="[Fact_Digital_Transformation_Index].[Code_ID]" caption="Code_ID" attribute="1" defaultMemberUniqueName="[Fact_Digital_Transformation_Index].[Code_ID].[All]" allUniqueName="[Fact_Digital_Transformation_Index].[Code_ID].[All]" dimensionUniqueName="[Fact_Digital_Transformation_Index]" displayFolder="" count="0" memberValueDatatype="130" unbalanced="0"/>
    <cacheHierarchy uniqueName="[Fact_Digital_Transformation_Index].[Country_Code]" caption="Country_Code" attribute="1" defaultMemberUniqueName="[Fact_Digital_Transformation_Index].[Country_Code].[All]" allUniqueName="[Fact_Digital_Transformation_Index].[Country_Code].[All]" dimensionUniqueName="[Fact_Digital_Transformation_Index]" displayFolder="" count="0" memberValueDatatype="130" unbalanced="0"/>
    <cacheHierarchy uniqueName="[Fact_Digital_Transformation_Index].[Country]" caption="Country" attribute="1" defaultMemberUniqueName="[Fact_Digital_Transformation_Index].[Country].[All]" allUniqueName="[Fact_Digital_Transformation_Index].[Country].[All]" dimensionUniqueName="[Fact_Digital_Transformation_Index]" displayFolder="" count="0" memberValueDatatype="130" unbalanced="0"/>
    <cacheHierarchy uniqueName="[Fact_Digital_Transformation_Index].[Year]" caption="Year" attribute="1" defaultMemberUniqueName="[Fact_Digital_Transformation_Index].[Year].[All]" allUniqueName="[Fact_Digital_Transformation_Index].[Year].[All]" dimensionUniqueName="[Fact_Digital_Transformation_Index]" displayFolder="" count="0" memberValueDatatype="20" unbalanced="0"/>
    <cacheHierarchy uniqueName="[Fact_Digital_Transformation_Index].[Internet_Access_Index]" caption="Internet_Access_Index" attribute="1" defaultMemberUniqueName="[Fact_Digital_Transformation_Index].[Internet_Access_Index].[All]" allUniqueName="[Fact_Digital_Transformation_Index].[Internet_Access_Index].[All]" dimensionUniqueName="[Fact_Digital_Transformation_Index]" displayFolder="" count="0" memberValueDatatype="5" unbalanced="0"/>
    <cacheHierarchy uniqueName="[Fact_Digital_Transformation_Index].[Internet_Affordability_Index]" caption="Internet_Affordability_Index" attribute="1" defaultMemberUniqueName="[Fact_Digital_Transformation_Index].[Internet_Affordability_Index].[All]" allUniqueName="[Fact_Digital_Transformation_Index].[Internet_Affordability_Index].[All]" dimensionUniqueName="[Fact_Digital_Transformation_Index]" displayFolder="" count="0" memberValueDatatype="5" unbalanced="0"/>
    <cacheHierarchy uniqueName="[Fact_Digital_Transformation_Index].[Internet_Quality_Index]" caption="Internet_Quality_Index" attribute="1" defaultMemberUniqueName="[Fact_Digital_Transformation_Index].[Internet_Quality_Index].[All]" allUniqueName="[Fact_Digital_Transformation_Index].[Internet_Quality_Index].[All]" dimensionUniqueName="[Fact_Digital_Transformation_Index]" displayFolder="" count="0" memberValueDatatype="5" unbalanced="0"/>
    <cacheHierarchy uniqueName="[Fact_Digital_Transformation_Index].[Internet_All_Index]" caption="Internet_All_Index" attribute="1" defaultMemberUniqueName="[Fact_Digital_Transformation_Index].[Internet_All_Index].[All]" allUniqueName="[Fact_Digital_Transformation_Index].[Internet_All_Index].[All]" dimensionUniqueName="[Fact_Digital_Transformation_Index]" displayFolder="" count="0" memberValueDatatype="5" unbalanced="0"/>
    <cacheHierarchy uniqueName="[Fact_Digital_Transformation_Index].[EGDI_Rank]" caption="EGDI_Rank" attribute="1" defaultMemberUniqueName="[Fact_Digital_Transformation_Index].[EGDI_Rank].[All]" allUniqueName="[Fact_Digital_Transformation_Index].[EGDI_Rank].[All]" dimensionUniqueName="[Fact_Digital_Transformation_Index]" displayFolder="" count="0" memberValueDatatype="20" unbalanced="0"/>
    <cacheHierarchy uniqueName="[Fact_Digital_Transformation_Index].[OSI_Value]" caption="OSI_Value" attribute="1" defaultMemberUniqueName="[Fact_Digital_Transformation_Index].[OSI_Value].[All]" allUniqueName="[Fact_Digital_Transformation_Index].[OSI_Value].[All]" dimensionUniqueName="[Fact_Digital_Transformation_Index]" displayFolder="" count="0" memberValueDatatype="5" unbalanced="0"/>
    <cacheHierarchy uniqueName="[Fact_Digital_Transformation_Index].[TII_Value]" caption="TII_Value" attribute="1" defaultMemberUniqueName="[Fact_Digital_Transformation_Index].[TII_Value].[All]" allUniqueName="[Fact_Digital_Transformation_Index].[TII_Value].[All]" dimensionUniqueName="[Fact_Digital_Transformation_Index]" displayFolder="" count="0" memberValueDatatype="5" unbalanced="0"/>
    <cacheHierarchy uniqueName="[Fact_Digital_Transformation_Index].[HCI_Value]" caption="HCI_Value" attribute="1" defaultMemberUniqueName="[Fact_Digital_Transformation_Index].[HCI_Value].[All]" allUniqueName="[Fact_Digital_Transformation_Index].[HCI_Value].[All]" dimensionUniqueName="[Fact_Digital_Transformation_Index]" displayFolder="" count="0" memberValueDatatype="5" unbalanced="0"/>
    <cacheHierarchy uniqueName="[Fact_Digital_Transformation_Index].[EPI_Value]" caption="EPI_Value" attribute="1" defaultMemberUniqueName="[Fact_Digital_Transformation_Index].[EPI_Value].[All]" allUniqueName="[Fact_Digital_Transformation_Index].[EPI_Value].[All]" dimensionUniqueName="[Fact_Digital_Transformation_Index]" displayFolder="" count="0" memberValueDatatype="5" unbalanced="0"/>
    <cacheHierarchy uniqueName="[Fact_Digital_Transformation_Index].[EPI_Rank]" caption="EPI_Rank" attribute="1" defaultMemberUniqueName="[Fact_Digital_Transformation_Index].[EPI_Rank].[All]" allUniqueName="[Fact_Digital_Transformation_Index].[EPI_Rank].[All]" dimensionUniqueName="[Fact_Digital_Transformation_Index]" displayFolder="" count="0" memberValueDatatype="20" unbalanced="0"/>
    <cacheHierarchy uniqueName="[Fact_Digital_Transformation_Index].[E_GOV_Index]" caption="E_GOV_Index" attribute="1" defaultMemberUniqueName="[Fact_Digital_Transformation_Index].[E_GOV_Index].[All]" allUniqueName="[Fact_Digital_Transformation_Index].[E_GOV_Index].[All]" dimensionUniqueName="[Fact_Digital_Transformation_Index]" displayFolder="" count="0" memberValueDatatype="5" unbalanced="0"/>
    <cacheHierarchy uniqueName="[Fact_Digital_Transformation_Index].[Digital_Payments_Index]" caption="Digital_Payments_Index" attribute="1" defaultMemberUniqueName="[Fact_Digital_Transformation_Index].[Digital_Payments_Index].[All]" allUniqueName="[Fact_Digital_Transformation_Index].[Digital_Payments_Index].[All]" dimensionUniqueName="[Fact_Digital_Transformation_Index]" displayFolder="" count="0" memberValueDatatype="5" unbalanced="0"/>
    <cacheHierarchy uniqueName="[Fact_Digital_Transformation_Index].[FI_Access_Index]" caption="FI_Access_Index" attribute="1" defaultMemberUniqueName="[Fact_Digital_Transformation_Index].[FI_Access_Index].[All]" allUniqueName="[Fact_Digital_Transformation_Index].[FI_Access_Index].[All]" dimensionUniqueName="[Fact_Digital_Transformation_Index]" displayFolder="" count="0" memberValueDatatype="5" unbalanced="0"/>
    <cacheHierarchy uniqueName="[Fact_Digital_Transformation_Index].[FI_Usage_Index]" caption="FI_Usage_Index" attribute="1" defaultMemberUniqueName="[Fact_Digital_Transformation_Index].[FI_Usage_Index].[All]" allUniqueName="[Fact_Digital_Transformation_Index].[FI_Usage_Index].[All]" dimensionUniqueName="[Fact_Digital_Transformation_Index]" displayFolder="" count="0" memberValueDatatype="5" unbalanced="0"/>
    <cacheHierarchy uniqueName="[Fact_Digital_Transformation_Index].[FI_All_Index]" caption="FI_All_Index" attribute="1" defaultMemberUniqueName="[Fact_Digital_Transformation_Index].[FI_All_Index].[All]" allUniqueName="[Fact_Digital_Transformation_Index].[FI_All_Index].[All]" dimensionUniqueName="[Fact_Digital_Transformation_Index]" displayFolder="" count="0" memberValueDatatype="5" unbalanced="0"/>
    <cacheHierarchy uniqueName="[Fact_Digital_Transformation_Index].[Digital_Tranformation_Index]" caption="Digital_Tranformation_Index" attribute="1" defaultMemberUniqueName="[Fact_Digital_Transformation_Index].[Digital_Tranformation_Index].[All]" allUniqueName="[Fact_Digital_Transformation_Index].[Digital_Tranformation_Index].[All]" dimensionUniqueName="[Fact_Digital_Transformation_Index]" displayFolder="" count="0" memberValueDatatype="5" unbalanced="0"/>
    <cacheHierarchy uniqueName="[Growth].[Country]" caption="Country" attribute="1" defaultMemberUniqueName="[Growth].[Country].[All]" allUniqueName="[Growth].[Country].[All]" dimensionUniqueName="[Growth]" displayFolder="" count="2" memberValueDatatype="130" unbalanced="0"/>
    <cacheHierarchy uniqueName="[Growth].[DT_Growth%]" caption="DT_Growth%" attribute="1" defaultMemberUniqueName="[Growth].[DT_Growth%].[All]" allUniqueName="[Growth].[DT_Growth%].[All]" dimensionUniqueName="[Growth]" displayFolder="" count="0" memberValueDatatype="5" unbalanced="0"/>
    <cacheHierarchy uniqueName="[Growth].[FI_Growth%]" caption="FI_Growth%" attribute="1" defaultMemberUniqueName="[Growth].[FI_Growth%].[All]" allUniqueName="[Growth].[FI_Growth%].[All]" dimensionUniqueName="[Growth]" displayFolder="" count="0" memberValueDatatype="5" unbalanced="0"/>
    <cacheHierarchy uniqueName="[Growth].[EGOV_Growth%]" caption="EGOV_Growth%" attribute="1" defaultMemberUniqueName="[Growth].[EGOV_Growth%].[All]" allUniqueName="[Growth].[EGOV_Growth%].[All]" dimensionUniqueName="[Growth]" displayFolder="" count="0" memberValueDatatype="5" unbalanced="0"/>
    <cacheHierarchy uniqueName="[Growth].[Internet Penetration Growth%]" caption="Internet Penetration Growth%" attribute="1" defaultMemberUniqueName="[Growth].[Internet Penetration Growth%].[All]" allUniqueName="[Growth].[Internet Penetration Growth%].[All]" dimensionUniqueName="[Growth]" displayFolder="" count="0" memberValueDatatype="5" unbalanced="0"/>
    <cacheHierarchy uniqueName="[Growth].[Digital _Payments Growth%]" caption="Digital _Payments Growth%" attribute="1" defaultMemberUniqueName="[Growth].[Digital _Payments Growth%].[All]" allUniqueName="[Growth].[Digital _Payments Growth%].[All]" dimensionUniqueName="[Growth]" displayFolder="" count="0" memberValueDatatype="5" unbalanced="0"/>
    <cacheHierarchy uniqueName="[Measures].[__XL_Count Fact_Digital_Transformation_Index]" caption="__XL_Count Fact_Digital_Transformation_Index" measure="1" displayFolder="" measureGroup="Fact_Digital_Transformation_Index" count="0" hidden="1"/>
    <cacheHierarchy uniqueName="[Measures].[__XL_Count Growth]" caption="__XL_Count Growth" measure="1" displayFolder="" measureGroup="Growth" count="0" hidden="1"/>
    <cacheHierarchy uniqueName="[Measures].[__No measures defined]" caption="__No measures defined" measure="1" displayFolder="" count="0" hidden="1"/>
    <cacheHierarchy uniqueName="[Measures].[Sum of DT_Growth%]" caption="Sum of DT_Growth%" measure="1" displayFolder="" measureGroup="Growth" count="0" hidden="1">
      <extLst>
        <ext xmlns:x15="http://schemas.microsoft.com/office/spreadsheetml/2010/11/main" uri="{B97F6D7D-B522-45F9-BDA1-12C45D357490}">
          <x15:cacheHierarchy aggregatedColumn="21"/>
        </ext>
      </extLst>
    </cacheHierarchy>
    <cacheHierarchy uniqueName="[Measures].[Sum of FI_Growth%]" caption="Sum of FI_Growth%" measure="1" displayFolder="" measureGroup="Growth" count="0" hidden="1">
      <extLst>
        <ext xmlns:x15="http://schemas.microsoft.com/office/spreadsheetml/2010/11/main" uri="{B97F6D7D-B522-45F9-BDA1-12C45D357490}">
          <x15:cacheHierarchy aggregatedColumn="22"/>
        </ext>
      </extLst>
    </cacheHierarchy>
    <cacheHierarchy uniqueName="[Measures].[Sum of EGOV_Growth%]" caption="Sum of EGOV_Growth%" measure="1" displayFolder="" measureGroup="Growth" count="0" hidden="1">
      <extLst>
        <ext xmlns:x15="http://schemas.microsoft.com/office/spreadsheetml/2010/11/main" uri="{B97F6D7D-B522-45F9-BDA1-12C45D357490}">
          <x15:cacheHierarchy aggregatedColumn="23"/>
        </ext>
      </extLst>
    </cacheHierarchy>
    <cacheHierarchy uniqueName="[Measures].[Sum of Internet Penetration Growth%]" caption="Sum of Internet Penetration Growth%" measure="1" displayFolder="" measureGroup="Growth" count="0" hidden="1">
      <extLst>
        <ext xmlns:x15="http://schemas.microsoft.com/office/spreadsheetml/2010/11/main" uri="{B97F6D7D-B522-45F9-BDA1-12C45D357490}">
          <x15:cacheHierarchy aggregatedColumn="24"/>
        </ext>
      </extLst>
    </cacheHierarchy>
    <cacheHierarchy uniqueName="[Measures].[Sum of Digital _Payments Growth%]" caption="Sum of Digital _Payments Growth%" measure="1" displayFolder="" measureGroup="Growth" count="0" hidden="1">
      <extLst>
        <ext xmlns:x15="http://schemas.microsoft.com/office/spreadsheetml/2010/11/main" uri="{B97F6D7D-B522-45F9-BDA1-12C45D357490}">
          <x15:cacheHierarchy aggregatedColumn="25"/>
        </ext>
      </extLst>
    </cacheHierarchy>
    <cacheHierarchy uniqueName="[Measures].[Average of DT_Growth%]" caption="Average of DT_Growth%" measure="1" displayFolder="" measureGroup="Growth" count="0" hidden="1">
      <extLst>
        <ext xmlns:x15="http://schemas.microsoft.com/office/spreadsheetml/2010/11/main" uri="{B97F6D7D-B522-45F9-BDA1-12C45D357490}">
          <x15:cacheHierarchy aggregatedColumn="21"/>
        </ext>
      </extLst>
    </cacheHierarchy>
    <cacheHierarchy uniqueName="[Measures].[Average of FI_Growth%]" caption="Average of FI_Growth%" measure="1" displayFolder="" measureGroup="Growth" count="0" hidden="1">
      <extLst>
        <ext xmlns:x15="http://schemas.microsoft.com/office/spreadsheetml/2010/11/main" uri="{B97F6D7D-B522-45F9-BDA1-12C45D357490}">
          <x15:cacheHierarchy aggregatedColumn="22"/>
        </ext>
      </extLst>
    </cacheHierarchy>
    <cacheHierarchy uniqueName="[Measures].[Average of EGOV_Growth%]" caption="Average of EGOV_Growth%" measure="1" displayFolder="" measureGroup="Growth" count="0" hidden="1">
      <extLst>
        <ext xmlns:x15="http://schemas.microsoft.com/office/spreadsheetml/2010/11/main" uri="{B97F6D7D-B522-45F9-BDA1-12C45D357490}">
          <x15:cacheHierarchy aggregatedColumn="23"/>
        </ext>
      </extLst>
    </cacheHierarchy>
    <cacheHierarchy uniqueName="[Measures].[Average of Internet Penetration Growth%]" caption="Average of Internet Penetration Growth%" measure="1" displayFolder="" measureGroup="Growth" count="0" hidden="1">
      <extLst>
        <ext xmlns:x15="http://schemas.microsoft.com/office/spreadsheetml/2010/11/main" uri="{B97F6D7D-B522-45F9-BDA1-12C45D357490}">
          <x15:cacheHierarchy aggregatedColumn="24"/>
        </ext>
      </extLst>
    </cacheHierarchy>
    <cacheHierarchy uniqueName="[Measures].[Average of Digital _Payments Growth%]" caption="Average of Digital _Payments Growth%" measure="1" displayFolder="" measureGroup="Growth"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78814810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EGY_2015"/>
    <x v="0"/>
    <x v="0"/>
    <x v="0"/>
    <n v="0.16126787288324124"/>
    <n v="0.63104284022679635"/>
    <m/>
    <n v="0.39615535655501877"/>
    <m/>
    <m/>
    <m/>
    <m/>
    <m/>
    <m/>
    <m/>
    <m/>
    <m/>
    <m/>
    <m/>
    <n v="0.39615535655501877"/>
    <s v="Pre-COVID"/>
  </r>
  <r>
    <s v="EGY_2024"/>
    <x v="0"/>
    <x v="0"/>
    <x v="1"/>
    <n v="0.42545457743738141"/>
    <n v="0.71060743651229075"/>
    <n v="6.22168469596538E-2"/>
    <n v="0.39942628696977533"/>
    <n v="95"/>
    <n v="0.70016"/>
    <n v="0.69455999999999996"/>
    <n v="0.61502999999999997"/>
    <n v="0.58899999999999997"/>
    <n v="74"/>
    <n v="0.6699166666666666"/>
    <n v="0.30114029023832745"/>
    <n v="0.21667021098952782"/>
    <n v="5.4898462549660285E-2"/>
    <n v="0.13578433676959406"/>
    <n v="0.45682774795825648"/>
    <s v="Post-COVID"/>
  </r>
  <r>
    <s v="SAU_2019"/>
    <x v="1"/>
    <x v="1"/>
    <x v="2"/>
    <n v="0.62501753629764345"/>
    <n v="0.80625400530460523"/>
    <n v="9.3360433012578736E-2"/>
    <n v="0.50821065820494249"/>
    <m/>
    <m/>
    <m/>
    <m/>
    <m/>
    <m/>
    <m/>
    <m/>
    <m/>
    <m/>
    <m/>
    <n v="0.50821065820494249"/>
    <s v="Pre-COVID"/>
  </r>
  <r>
    <s v="SAU_2017"/>
    <x v="1"/>
    <x v="1"/>
    <x v="3"/>
    <n v="0.55801265432384539"/>
    <n v="0.7655058349173981"/>
    <m/>
    <n v="0.66175924462062174"/>
    <m/>
    <m/>
    <m/>
    <m/>
    <m/>
    <m/>
    <m/>
    <n v="0.41498030331004354"/>
    <n v="0.61192697363364057"/>
    <n v="0.20962423243591372"/>
    <n v="0.41077560303477711"/>
    <n v="0.53836977396533259"/>
    <s v="Pre-COVID"/>
  </r>
  <r>
    <s v="EGY_2022"/>
    <x v="0"/>
    <x v="0"/>
    <x v="4"/>
    <n v="0.38753152046913519"/>
    <n v="0.64246724729595051"/>
    <n v="3.6819293314312197E-2"/>
    <n v="0.35560602035979932"/>
    <n v="103"/>
    <n v="0.57299999999999995"/>
    <n v="0.55789999999999995"/>
    <n v="0.63749999999999996"/>
    <n v="0.3523"/>
    <n v="107"/>
    <n v="0.58946666666666669"/>
    <m/>
    <m/>
    <m/>
    <m/>
    <n v="0.47253634351323304"/>
    <s v="Post-COVID"/>
  </r>
  <r>
    <s v="SAU_2015"/>
    <x v="1"/>
    <x v="1"/>
    <x v="0"/>
    <n v="0.42887841054362968"/>
    <n v="0.79494048295532738"/>
    <m/>
    <n v="0.61190944674947856"/>
    <m/>
    <m/>
    <m/>
    <m/>
    <m/>
    <m/>
    <m/>
    <m/>
    <m/>
    <m/>
    <m/>
    <n v="0.61190944674947856"/>
    <s v="Pre-COVID"/>
  </r>
  <r>
    <s v="EGY_2020"/>
    <x v="0"/>
    <x v="0"/>
    <x v="5"/>
    <n v="0.36362808999475321"/>
    <n v="0.59955208585857889"/>
    <n v="2.3220114280324576E-2"/>
    <n v="0.3288000967112189"/>
    <n v="111"/>
    <n v="0.5706"/>
    <n v="0.46829999999999999"/>
    <n v="0.61919999999999997"/>
    <n v="0.51190000000000002"/>
    <n v="106"/>
    <n v="0.55269999999999997"/>
    <m/>
    <m/>
    <m/>
    <m/>
    <n v="0.44075004835560944"/>
    <s v="Post-COVID"/>
  </r>
  <r>
    <s v="SAU_2020"/>
    <x v="1"/>
    <x v="1"/>
    <x v="5"/>
    <n v="0.69565986848842565"/>
    <n v="0.67317733496642795"/>
    <n v="0.24491341778282796"/>
    <n v="0.53791687374589381"/>
    <n v="43"/>
    <n v="0.68820000000000003"/>
    <n v="0.84419999999999995"/>
    <n v="0.86480000000000001"/>
    <n v="0.71430000000000005"/>
    <n v="66"/>
    <n v="0.79906666666666659"/>
    <m/>
    <m/>
    <m/>
    <m/>
    <n v="0.66849177020628026"/>
    <s v="Post-COVID"/>
  </r>
  <r>
    <s v="SAU_2021"/>
    <x v="1"/>
    <x v="1"/>
    <x v="6"/>
    <n v="0.77887701411054377"/>
    <n v="0.57805622376268506"/>
    <n v="0.31949940341083954"/>
    <n v="0.55881088042802274"/>
    <m/>
    <m/>
    <m/>
    <m/>
    <m/>
    <m/>
    <m/>
    <n v="0.75041190041764538"/>
    <n v="0.64819158469226623"/>
    <n v="0.48412670734849028"/>
    <n v="0.56615914602037831"/>
    <n v="0.65461139042283412"/>
    <s v="Post-COVID"/>
  </r>
  <r>
    <s v="EGY_2018"/>
    <x v="0"/>
    <x v="0"/>
    <x v="7"/>
    <n v="0.2293496704140128"/>
    <n v="0.61731153999591171"/>
    <m/>
    <n v="0.42333060520496224"/>
    <n v="114"/>
    <n v="0.53469999999999995"/>
    <n v="0.32219999999999999"/>
    <n v="0.60719999999999996"/>
    <n v="0.5393"/>
    <n v="109"/>
    <n v="0.48803333333333332"/>
    <m/>
    <m/>
    <m/>
    <m/>
    <n v="0.45568196926914778"/>
    <s v="Pre-COVID"/>
  </r>
  <r>
    <s v="SAU_2016"/>
    <x v="1"/>
    <x v="1"/>
    <x v="8"/>
    <n v="0.44257538763933119"/>
    <n v="0.87249184415858883"/>
    <m/>
    <n v="0.65753361589895998"/>
    <n v="44"/>
    <n v="0.67391000000000001"/>
    <n v="0.57333999999999996"/>
    <n v="0.79945999999999995"/>
    <n v="0.71186000000000005"/>
    <n v="39"/>
    <n v="0.68223666666666671"/>
    <m/>
    <m/>
    <m/>
    <m/>
    <n v="0.66988514128281329"/>
    <s v="Pre-COVID"/>
  </r>
  <r>
    <s v="EGY_2016"/>
    <x v="0"/>
    <x v="0"/>
    <x v="8"/>
    <n v="0.18249398251925708"/>
    <n v="0.76098946955683866"/>
    <m/>
    <n v="0.47174172603804787"/>
    <n v="108"/>
    <n v="0.47100999999999998"/>
    <n v="0.30246000000000001"/>
    <n v="0.60475999999999996"/>
    <n v="0.40677999999999997"/>
    <n v="107"/>
    <n v="0.45940999999999993"/>
    <m/>
    <m/>
    <m/>
    <m/>
    <n v="0.46557586301902387"/>
    <s v="Pre-COVID"/>
  </r>
  <r>
    <s v="SAU_2022"/>
    <x v="1"/>
    <x v="1"/>
    <x v="4"/>
    <n v="0.84988537151508348"/>
    <n v="0.48788687963540217"/>
    <n v="0.34424406709574928"/>
    <n v="0.56067210608207829"/>
    <n v="31"/>
    <n v="0.82199999999999995"/>
    <n v="0.87350000000000005"/>
    <n v="0.86619999999999997"/>
    <n v="0.69320000000000004"/>
    <n v="43"/>
    <n v="0.85389999999999999"/>
    <m/>
    <m/>
    <m/>
    <m/>
    <n v="0.7072860530410392"/>
    <s v="Post-COVID"/>
  </r>
  <r>
    <s v="IND_2020"/>
    <x v="2"/>
    <x v="2"/>
    <x v="5"/>
    <n v="0.18714870836088171"/>
    <n v="0.52288800763364685"/>
    <n v="6.9255422361894581E-2"/>
    <n v="0.25976404611880771"/>
    <n v="100"/>
    <n v="0.85289999999999999"/>
    <n v="0.35149999999999998"/>
    <n v="0.58479999999999999"/>
    <n v="0.85709999999999997"/>
    <n v="29"/>
    <n v="0.59639999999999993"/>
    <m/>
    <m/>
    <m/>
    <m/>
    <n v="0.42808202305940379"/>
    <s v="Post-COVID"/>
  </r>
  <r>
    <s v="SAU_2023"/>
    <x v="1"/>
    <x v="1"/>
    <x v="9"/>
    <n v="0.90307142558557729"/>
    <n v="0.67802175031777079"/>
    <n v="0.3613448622659754"/>
    <n v="0.6474793460564412"/>
    <m/>
    <m/>
    <m/>
    <m/>
    <m/>
    <m/>
    <m/>
    <m/>
    <m/>
    <m/>
    <m/>
    <n v="0.6474793460564412"/>
    <s v="Post-COVID"/>
  </r>
  <r>
    <s v="IND_2016"/>
    <x v="2"/>
    <x v="2"/>
    <x v="8"/>
    <n v="1.9298221011997605E-2"/>
    <n v="0.13649601630868424"/>
    <m/>
    <n v="7.7897118660340922E-2"/>
    <n v="107"/>
    <n v="0.74638000000000004"/>
    <n v="0.14298"/>
    <n v="0.50188999999999995"/>
    <n v="0.76271"/>
    <n v="27"/>
    <n v="0.46374999999999994"/>
    <m/>
    <m/>
    <m/>
    <m/>
    <n v="0.27082355933017044"/>
    <s v="Pre-COVID"/>
  </r>
  <r>
    <s v="SAU_2018"/>
    <x v="1"/>
    <x v="1"/>
    <x v="7"/>
    <n v="0.60680816596304199"/>
    <n v="0.80625400530460523"/>
    <m/>
    <n v="0.70653108563382361"/>
    <n v="52"/>
    <n v="0.79169999999999996"/>
    <n v="0.53390000000000004"/>
    <n v="0.81010000000000004"/>
    <n v="0.71350000000000002"/>
    <n v="67"/>
    <n v="0.71189999999999998"/>
    <m/>
    <m/>
    <m/>
    <m/>
    <n v="0.70921554281691179"/>
    <s v="Pre-COVID"/>
  </r>
  <r>
    <s v="SAU_2024"/>
    <x v="1"/>
    <x v="1"/>
    <x v="1"/>
    <n v="0.9282931396507369"/>
    <n v="0.92843243716492763"/>
    <n v="0.39789566896288148"/>
    <n v="0.75154041525951532"/>
    <n v="6"/>
    <n v="0.98995"/>
    <n v="0.98411000000000004"/>
    <n v="0.90666000000000002"/>
    <n v="0.95889999999999997"/>
    <n v="7"/>
    <n v="0.96024000000000009"/>
    <n v="0.85156351097590477"/>
    <n v="0.71069505186128101"/>
    <n v="0.48011869182857209"/>
    <n v="0.59540687184492658"/>
    <n v="0.85444797541180673"/>
    <s v="Post-COVID"/>
  </r>
  <r>
    <s v="EGY_2017"/>
    <x v="0"/>
    <x v="0"/>
    <x v="3"/>
    <n v="0.20666908967826336"/>
    <n v="0.86581462004804344"/>
    <m/>
    <n v="0.53624185486315334"/>
    <m/>
    <m/>
    <m/>
    <m/>
    <m/>
    <m/>
    <m/>
    <n v="1.6683175337813053E-2"/>
    <n v="7.3844151490551624E-2"/>
    <n v="3.5020894510343674E-2"/>
    <n v="5.4432523000447652E-2"/>
    <n v="0.2764625151004832"/>
    <s v="Pre-COVID"/>
  </r>
  <r>
    <s v="IND_2019"/>
    <x v="2"/>
    <x v="2"/>
    <x v="2"/>
    <n v="0.12153213271042063"/>
    <n v="0.63735352313477678"/>
    <n v="3.5520130975915248E-2"/>
    <n v="0.26480192894037091"/>
    <m/>
    <m/>
    <m/>
    <m/>
    <m/>
    <m/>
    <m/>
    <m/>
    <m/>
    <m/>
    <m/>
    <n v="0.26480192894037091"/>
    <s v="Pre-COVID"/>
  </r>
  <r>
    <s v="EGY_2019"/>
    <x v="0"/>
    <x v="0"/>
    <x v="2"/>
    <n v="0.28513626614314974"/>
    <n v="0.61731153999591171"/>
    <n v="6.6798628384887064E-3"/>
    <n v="0.30304255632585003"/>
    <m/>
    <m/>
    <m/>
    <m/>
    <m/>
    <m/>
    <m/>
    <m/>
    <m/>
    <m/>
    <m/>
    <n v="0.30304255632585003"/>
    <s v="Pre-COVID"/>
  </r>
  <r>
    <s v="EGY_2021"/>
    <x v="0"/>
    <x v="0"/>
    <x v="6"/>
    <n v="0.37345018689097143"/>
    <n v="0.61307470017551668"/>
    <n v="3.3979383373361344E-2"/>
    <n v="0.34016809014661648"/>
    <m/>
    <m/>
    <m/>
    <m/>
    <m/>
    <m/>
    <m/>
    <n v="1.6183336258612589E-2"/>
    <n v="0"/>
    <n v="0"/>
    <n v="0"/>
    <n v="0.17817571320261452"/>
    <s v="Post-COVID"/>
  </r>
  <r>
    <s v="EGY_2023"/>
    <x v="0"/>
    <x v="0"/>
    <x v="9"/>
    <n v="0.39983578030655015"/>
    <n v="0.70078574146290629"/>
    <n v="4.6744579365918679E-2"/>
    <n v="0.38245536704512506"/>
    <m/>
    <m/>
    <m/>
    <m/>
    <m/>
    <m/>
    <m/>
    <m/>
    <m/>
    <m/>
    <m/>
    <n v="0.38245536704512506"/>
    <s v="Post-COVID"/>
  </r>
  <r>
    <s v="IND_2015"/>
    <x v="2"/>
    <x v="2"/>
    <x v="0"/>
    <n v="0"/>
    <n v="0.14207020744258131"/>
    <m/>
    <n v="7.1035103721290654E-2"/>
    <m/>
    <m/>
    <m/>
    <m/>
    <m/>
    <m/>
    <m/>
    <m/>
    <m/>
    <m/>
    <m/>
    <n v="7.1035103721290654E-2"/>
    <s v="Pre-COVID"/>
  </r>
  <r>
    <s v="GBR_2015"/>
    <x v="3"/>
    <x v="3"/>
    <x v="0"/>
    <n v="0.70196602281197717"/>
    <n v="0.96459504944137087"/>
    <m/>
    <n v="0.83328053612667397"/>
    <m/>
    <m/>
    <m/>
    <m/>
    <m/>
    <m/>
    <m/>
    <m/>
    <m/>
    <m/>
    <m/>
    <n v="0.83328053612667397"/>
    <s v="Pre-COVID"/>
  </r>
  <r>
    <s v="GBR_2016"/>
    <x v="3"/>
    <x v="3"/>
    <x v="8"/>
    <n v="0.71790963144730335"/>
    <n v="0.98194323088563895"/>
    <m/>
    <n v="0.84992643116647115"/>
    <n v="1"/>
    <n v="1"/>
    <n v="0.81766000000000005"/>
    <n v="0.94018000000000002"/>
    <n v="1"/>
    <n v="1"/>
    <n v="0.91927999999999999"/>
    <m/>
    <m/>
    <m/>
    <m/>
    <n v="0.88460321558323551"/>
    <s v="Pre-COVID"/>
  </r>
  <r>
    <s v="IND_2017"/>
    <x v="2"/>
    <x v="2"/>
    <x v="3"/>
    <n v="4.1052587950697148E-2"/>
    <n v="6.4594264783135791E-2"/>
    <m/>
    <n v="5.2823426366916469E-2"/>
    <m/>
    <m/>
    <m/>
    <m/>
    <m/>
    <m/>
    <m/>
    <n v="3.9786186144369205E-2"/>
    <n v="0.72499797288126133"/>
    <n v="0.14090106545890502"/>
    <n v="0.43294951917008317"/>
    <n v="4.6304806255642837E-2"/>
    <s v="Pre-COVID"/>
  </r>
  <r>
    <s v="GBR_2019"/>
    <x v="3"/>
    <x v="3"/>
    <x v="2"/>
    <n v="0.75742641057118909"/>
    <n v="0.85546979868951878"/>
    <n v="0.11567314108448203"/>
    <n v="0.57618978344839666"/>
    <m/>
    <m/>
    <m/>
    <m/>
    <m/>
    <m/>
    <m/>
    <m/>
    <m/>
    <m/>
    <m/>
    <n v="0.57618978344839666"/>
    <s v="Pre-COVID"/>
  </r>
  <r>
    <s v="GBR_2017"/>
    <x v="3"/>
    <x v="3"/>
    <x v="3"/>
    <n v="0.71336342975121225"/>
    <n v="0.89759309123896569"/>
    <m/>
    <n v="0.80547826049508897"/>
    <m/>
    <m/>
    <m/>
    <m/>
    <m/>
    <m/>
    <m/>
    <n v="0.65162195007282275"/>
    <n v="0.95302835511520045"/>
    <n v="1"/>
    <n v="0.97651417755760028"/>
    <n v="0.72855010528395581"/>
    <s v="Pre-COVID"/>
  </r>
  <r>
    <s v="IND_2018"/>
    <x v="2"/>
    <x v="2"/>
    <x v="7"/>
    <n v="6.8116663522250029E-2"/>
    <n v="0.63049230747529894"/>
    <m/>
    <n v="0.34930448549877452"/>
    <n v="96"/>
    <n v="0.95140000000000002"/>
    <n v="0.2009"/>
    <n v="0.5484"/>
    <n v="0.95509999999999995"/>
    <n v="15"/>
    <n v="0.56690000000000007"/>
    <m/>
    <m/>
    <m/>
    <m/>
    <n v="0.45810224274938727"/>
    <s v="Pre-COVID"/>
  </r>
  <r>
    <s v="GBR_2018"/>
    <x v="3"/>
    <x v="3"/>
    <x v="7"/>
    <n v="0.73962883648469757"/>
    <n v="0.86619428685603317"/>
    <m/>
    <n v="0.80291156167036537"/>
    <n v="4"/>
    <n v="0.97919999999999996"/>
    <n v="0.8004"/>
    <n v="0.92"/>
    <n v="0.98309999999999997"/>
    <n v="5"/>
    <n v="0.89986666666666659"/>
    <m/>
    <m/>
    <m/>
    <m/>
    <n v="0.85138911416851593"/>
    <s v="Pre-COVID"/>
  </r>
  <r>
    <s v="GBR_2020"/>
    <x v="3"/>
    <x v="3"/>
    <x v="5"/>
    <n v="0.77705178047771495"/>
    <n v="0.78692743631664896"/>
    <n v="0.14835552865736101"/>
    <n v="0.57077824848390835"/>
    <n v="7"/>
    <n v="0.95879999999999999"/>
    <n v="0.91949999999999998"/>
    <n v="0.92920000000000003"/>
    <n v="0.97619999999999996"/>
    <n v="6"/>
    <n v="0.93583333333333341"/>
    <m/>
    <m/>
    <m/>
    <m/>
    <n v="0.75330579090862093"/>
    <s v="Post-COVID"/>
  </r>
  <r>
    <s v="IND_2021"/>
    <x v="2"/>
    <x v="2"/>
    <x v="6"/>
    <n v="0.21653733444015308"/>
    <n v="0.57675243250710051"/>
    <n v="0.11665089246030401"/>
    <n v="0.30331355313585251"/>
    <m/>
    <m/>
    <m/>
    <m/>
    <m/>
    <m/>
    <m/>
    <n v="0.17220947435042966"/>
    <n v="0.69255583814572097"/>
    <n v="0.11553990062841643"/>
    <n v="0.40404786938706871"/>
    <n v="0.23776151374314108"/>
    <s v="Post-COVID"/>
  </r>
  <r>
    <s v="GBR_2021"/>
    <x v="3"/>
    <x v="3"/>
    <x v="6"/>
    <n v="0.81470211228768752"/>
    <n v="0.88137903455197764"/>
    <n v="0.2326761001330751"/>
    <n v="0.64291908232424677"/>
    <m/>
    <m/>
    <m/>
    <m/>
    <m/>
    <m/>
    <m/>
    <n v="0.61909371686719228"/>
    <n v="1"/>
    <n v="0.89250272841593248"/>
    <n v="0.94625136420796618"/>
    <n v="0.63100639959571958"/>
    <s v="Post-COVID"/>
  </r>
  <r>
    <s v="IND_2022"/>
    <x v="2"/>
    <x v="2"/>
    <x v="4"/>
    <n v="0.24904889368920294"/>
    <n v="0.62886794904926036"/>
    <n v="0.14009948472362416"/>
    <n v="0.33933877582069583"/>
    <n v="105"/>
    <n v="0.79339999999999999"/>
    <n v="0.39539999999999997"/>
    <n v="0.57609999999999995"/>
    <n v="0.59089999999999998"/>
    <n v="61"/>
    <n v="0.58829999999999993"/>
    <m/>
    <m/>
    <m/>
    <m/>
    <n v="0.46381938791034788"/>
    <s v="Post-COVID"/>
  </r>
  <r>
    <s v="GBR_2022"/>
    <x v="3"/>
    <x v="3"/>
    <x v="4"/>
    <n v="0.81976665395696957"/>
    <n v="0.89883674612129771"/>
    <n v="0.30431665099830263"/>
    <n v="0.67430668369218993"/>
    <n v="11"/>
    <n v="0.88590000000000002"/>
    <n v="0.91859999999999997"/>
    <n v="0.93689999999999996"/>
    <n v="0.95450000000000002"/>
    <n v="6"/>
    <n v="0.91380000000000006"/>
    <m/>
    <m/>
    <m/>
    <m/>
    <n v="0.794053341846095"/>
    <s v="Post-COVID"/>
  </r>
  <r>
    <s v="IND_2023"/>
    <x v="2"/>
    <x v="2"/>
    <x v="9"/>
    <n v="0.2762261770158761"/>
    <n v="0.62471784169706501"/>
    <n v="0.33056898921335509"/>
    <n v="0.41050433597543207"/>
    <m/>
    <m/>
    <m/>
    <m/>
    <m/>
    <m/>
    <m/>
    <m/>
    <m/>
    <m/>
    <m/>
    <n v="0.41050433597543207"/>
    <s v="Post-COVID"/>
  </r>
  <r>
    <s v="GBR_2023"/>
    <x v="3"/>
    <x v="3"/>
    <x v="9"/>
    <n v="0.82596518488176851"/>
    <n v="0.91280901902754807"/>
    <n v="0.37310241911648645"/>
    <n v="0.70395887434193438"/>
    <m/>
    <m/>
    <m/>
    <m/>
    <m/>
    <m/>
    <m/>
    <m/>
    <m/>
    <m/>
    <m/>
    <n v="0.70395887434193438"/>
    <s v="Post-COVID"/>
  </r>
  <r>
    <s v="IND_2024"/>
    <x v="2"/>
    <x v="2"/>
    <x v="1"/>
    <n v="0.29958699708292674"/>
    <n v="0.65556437383067445"/>
    <n v="0.34083732220951068"/>
    <n v="0.43199623104103729"/>
    <n v="97"/>
    <n v="0.81842000000000004"/>
    <n v="0.57003999999999999"/>
    <n v="0.61487000000000003"/>
    <n v="0.65749999999999997"/>
    <n v="61"/>
    <n v="0.66777666666666669"/>
    <n v="0.48589012585927788"/>
    <n v="0.8515132735627402"/>
    <n v="0.23145079755990572"/>
    <n v="0.54148203556132302"/>
    <n v="0.52855434118899391"/>
    <s v="Post-COVID"/>
  </r>
  <r>
    <s v="GBR_2024"/>
    <x v="3"/>
    <x v="3"/>
    <x v="1"/>
    <n v="0.82518050283930833"/>
    <n v="0.91210552243046628"/>
    <n v="0.47032490967191098"/>
    <n v="0.73587031164722849"/>
    <n v="7"/>
    <n v="0.95348999999999995"/>
    <n v="0.97467000000000004"/>
    <n v="0.94498000000000004"/>
    <n v="0.97260000000000002"/>
    <n v="4"/>
    <n v="0.95771333333333342"/>
    <m/>
    <m/>
    <m/>
    <m/>
    <n v="0.84679182249028095"/>
    <s v="Post-COVID"/>
  </r>
  <r>
    <s v="ARE_2015"/>
    <x v="4"/>
    <x v="4"/>
    <x v="0"/>
    <n v="0.49949574697529081"/>
    <n v="0.85461436208026798"/>
    <m/>
    <n v="0.67705505452777937"/>
    <m/>
    <m/>
    <m/>
    <m/>
    <m/>
    <m/>
    <m/>
    <m/>
    <m/>
    <m/>
    <m/>
    <n v="0.67705505452777937"/>
    <s v="Pre-COVID"/>
  </r>
  <r>
    <s v="ARE_2016"/>
    <x v="4"/>
    <x v="4"/>
    <x v="8"/>
    <n v="0.50034186960350802"/>
    <n v="0.91027159409043468"/>
    <m/>
    <n v="0.70530673184697135"/>
    <n v="29"/>
    <n v="0.89129999999999998"/>
    <n v="0.68813000000000002"/>
    <n v="0.67515999999999998"/>
    <n v="0.74575999999999998"/>
    <n v="32"/>
    <n v="0.75152999999999992"/>
    <m/>
    <m/>
    <m/>
    <m/>
    <n v="0.72841836592348563"/>
    <s v="Pre-COVID"/>
  </r>
  <r>
    <s v="ARE_2017"/>
    <x v="4"/>
    <x v="4"/>
    <x v="3"/>
    <n v="0.66587512586129194"/>
    <n v="0.89433129138824663"/>
    <m/>
    <n v="0.78010320862476923"/>
    <m/>
    <m/>
    <m/>
    <m/>
    <m/>
    <m/>
    <m/>
    <n v="0.67466197065130418"/>
    <n v="0.84025166415649821"/>
    <n v="0.54680391240007165"/>
    <n v="0.69352778827828487"/>
    <n v="0.7273825896380367"/>
    <s v="Pre-COVID"/>
  </r>
  <r>
    <s v="ARE_2018"/>
    <x v="4"/>
    <x v="4"/>
    <x v="7"/>
    <n v="0.69392613610249487"/>
    <n v="0.8921572287747116"/>
    <m/>
    <n v="0.79304168243860329"/>
    <n v="21"/>
    <n v="0.94440000000000002"/>
    <n v="0.85640000000000005"/>
    <n v="0.68769999999999998"/>
    <n v="0.94379999999999997"/>
    <n v="17"/>
    <n v="0.82950000000000002"/>
    <m/>
    <m/>
    <m/>
    <m/>
    <n v="0.81127084121930171"/>
    <s v="Pre-COVID"/>
  </r>
  <r>
    <s v="ARE_2019"/>
    <x v="4"/>
    <x v="4"/>
    <x v="2"/>
    <n v="0.71774356235161052"/>
    <n v="0.8921572287747116"/>
    <n v="0.18035698706627912"/>
    <n v="0.59675259273086712"/>
    <m/>
    <m/>
    <m/>
    <m/>
    <m/>
    <m/>
    <m/>
    <m/>
    <m/>
    <m/>
    <m/>
    <n v="0.59675259273086712"/>
    <s v="Pre-COVID"/>
  </r>
  <r>
    <s v="ARE_2020"/>
    <x v="4"/>
    <x v="4"/>
    <x v="5"/>
    <n v="0.92467424597591552"/>
    <n v="0.90192612030562724"/>
    <n v="0.37949671635792626"/>
    <n v="0.73536569421315634"/>
    <n v="21"/>
    <n v="0.9"/>
    <n v="0.93440000000000001"/>
    <n v="0.73199999999999998"/>
    <n v="0.9405"/>
    <n v="16"/>
    <n v="0.8554666666666666"/>
    <m/>
    <m/>
    <m/>
    <m/>
    <n v="0.79541618043991147"/>
    <s v="Post-COVID"/>
  </r>
  <r>
    <s v="ARE_2021"/>
    <x v="4"/>
    <x v="4"/>
    <x v="6"/>
    <n v="0.93215748196173653"/>
    <n v="0.92323444095583662"/>
    <n v="0.71426405385255509"/>
    <n v="0.85655199225670942"/>
    <m/>
    <m/>
    <m/>
    <m/>
    <m/>
    <m/>
    <m/>
    <n v="0.45407506976999107"/>
    <n v="0.80612247349259258"/>
    <n v="0.18827624214110511"/>
    <n v="0.49719935781684887"/>
    <n v="0.65531353101335021"/>
    <s v="Post-COVID"/>
  </r>
  <r>
    <s v="ARE_2022"/>
    <x v="4"/>
    <x v="4"/>
    <x v="4"/>
    <n v="0.9101566582328261"/>
    <n v="0.8957383944734596"/>
    <n v="0.6476811789615633"/>
    <n v="0.81785874388928304"/>
    <n v="13"/>
    <n v="0.90139999999999998"/>
    <n v="0.93059999999999998"/>
    <n v="0.87109999999999999"/>
    <n v="0.78410000000000002"/>
    <n v="18"/>
    <n v="0.90103333333333335"/>
    <m/>
    <m/>
    <m/>
    <m/>
    <n v="0.85944603861130819"/>
    <s v="Post-COVID"/>
  </r>
  <r>
    <s v="ARE_2023"/>
    <x v="4"/>
    <x v="4"/>
    <x v="9"/>
    <n v="0.90521496156280523"/>
    <n v="0.96276919497418523"/>
    <n v="0.80680432111056599"/>
    <n v="0.89159615921585211"/>
    <m/>
    <m/>
    <m/>
    <m/>
    <m/>
    <m/>
    <m/>
    <m/>
    <m/>
    <m/>
    <m/>
    <n v="0.89159615921585211"/>
    <s v="Post-COVID"/>
  </r>
  <r>
    <s v="ARE_2024"/>
    <x v="4"/>
    <x v="4"/>
    <x v="1"/>
    <n v="0.90362130030310173"/>
    <n v="0.96979053229012302"/>
    <n v="1"/>
    <n v="0.95780394419774162"/>
    <n v="11"/>
    <n v="0.91627000000000003"/>
    <n v="1"/>
    <n v="0.94355"/>
    <n v="0.78080000000000005"/>
    <n v="37"/>
    <n v="0.95327333333333331"/>
    <m/>
    <m/>
    <m/>
    <m/>
    <n v="0.95553863876553746"/>
    <s v="Post-COV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F30E98-0B4F-48F4-B083-7A1116171DE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90:F95" firstHeaderRow="0" firstDataRow="1" firstDataCol="1"/>
  <pivotFields count="21">
    <pivotField showAll="0"/>
    <pivotField axis="axisRow" showAll="0">
      <items count="6">
        <item x="4"/>
        <item x="0"/>
        <item x="3"/>
        <item x="2"/>
        <item x="1"/>
        <item t="default"/>
      </items>
    </pivotField>
    <pivotField multipleItemSelectionAllowed="1" showAll="0"/>
    <pivotField multipleItemSelectionAllowed="1"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showAll="0"/>
  </pivotFields>
  <rowFields count="1">
    <field x="1"/>
  </rowFields>
  <rowItems count="5">
    <i>
      <x/>
    </i>
    <i>
      <x v="1"/>
    </i>
    <i>
      <x v="2"/>
    </i>
    <i>
      <x v="3"/>
    </i>
    <i>
      <x v="4"/>
    </i>
  </rowItems>
  <colFields count="1">
    <field x="-2"/>
  </colFields>
  <colItems count="5">
    <i>
      <x/>
    </i>
    <i i="1">
      <x v="1"/>
    </i>
    <i i="2">
      <x v="2"/>
    </i>
    <i i="3">
      <x v="3"/>
    </i>
    <i i="4">
      <x v="4"/>
    </i>
  </colItems>
  <dataFields count="5">
    <dataField name="Average of Digital_Transformation_Index" fld="19" subtotal="average" baseField="2" baseItem="0"/>
    <dataField name="Average of FI_All_Index" fld="18" subtotal="average" baseField="2" baseItem="0"/>
    <dataField name="Average of E_GOV_Index" fld="14" subtotal="average" baseField="2" baseItem="0"/>
    <dataField name="Average of Internet_All_Index" fld="7" subtotal="average" baseField="2" baseItem="0"/>
    <dataField name="Average of Digital_Payments_Index" fld="1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A8C263-1CB2-4611-ADE5-EB7B1F17D4C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47:F58" firstHeaderRow="1" firstDataRow="2" firstDataCol="1"/>
  <pivotFields count="21">
    <pivotField showAll="0"/>
    <pivotField showAll="0">
      <items count="6">
        <item x="4"/>
        <item x="0"/>
        <item x="3"/>
        <item x="2"/>
        <item x="1"/>
        <item t="default"/>
      </items>
    </pivotField>
    <pivotField axis="axisCol" multipleItemSelectionAllowed="1" showAll="0">
      <items count="6">
        <item x="0"/>
        <item x="2"/>
        <item x="1"/>
        <item x="4"/>
        <item x="3"/>
        <item t="default"/>
      </items>
    </pivotField>
    <pivotField axis="axisRow" multipleItemSelectionAllowed="1" showAll="0">
      <items count="11">
        <item x="0"/>
        <item x="8"/>
        <item x="3"/>
        <item x="7"/>
        <item x="2"/>
        <item x="5"/>
        <item x="6"/>
        <item x="4"/>
        <item x="9"/>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10">
    <i>
      <x/>
    </i>
    <i>
      <x v="1"/>
    </i>
    <i>
      <x v="2"/>
    </i>
    <i>
      <x v="3"/>
    </i>
    <i>
      <x v="4"/>
    </i>
    <i>
      <x v="5"/>
    </i>
    <i>
      <x v="6"/>
    </i>
    <i>
      <x v="7"/>
    </i>
    <i>
      <x v="8"/>
    </i>
    <i>
      <x v="9"/>
    </i>
  </rowItems>
  <colFields count="1">
    <field x="2"/>
  </colFields>
  <colItems count="5">
    <i>
      <x/>
    </i>
    <i>
      <x v="1"/>
    </i>
    <i>
      <x v="2"/>
    </i>
    <i>
      <x v="3"/>
    </i>
    <i>
      <x v="4"/>
    </i>
  </colItems>
  <dataFields count="1">
    <dataField name="Average of Digital_Payments_Index" fld="15" subtotal="average" baseField="3" baseItem="0"/>
  </dataFields>
  <chartFormats count="18">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1">
          <reference field="4294967294" count="1" selected="0">
            <x v="0"/>
          </reference>
        </references>
      </pivotArea>
    </chartFormat>
    <chartFormat chart="5" format="11" series="1">
      <pivotArea type="data" outline="0" fieldPosition="0">
        <references count="2">
          <reference field="4294967294" count="1" selected="0">
            <x v="0"/>
          </reference>
          <reference field="2" count="1" selected="0">
            <x v="0"/>
          </reference>
        </references>
      </pivotArea>
    </chartFormat>
    <chartFormat chart="5" format="12" series="1">
      <pivotArea type="data" outline="0" fieldPosition="0">
        <references count="2">
          <reference field="4294967294" count="1" selected="0">
            <x v="0"/>
          </reference>
          <reference field="2" count="1" selected="0">
            <x v="1"/>
          </reference>
        </references>
      </pivotArea>
    </chartFormat>
    <chartFormat chart="5" format="13" series="1">
      <pivotArea type="data" outline="0" fieldPosition="0">
        <references count="2">
          <reference field="4294967294" count="1" selected="0">
            <x v="0"/>
          </reference>
          <reference field="2" count="1" selected="0">
            <x v="2"/>
          </reference>
        </references>
      </pivotArea>
    </chartFormat>
    <chartFormat chart="5" format="14" series="1">
      <pivotArea type="data" outline="0" fieldPosition="0">
        <references count="2">
          <reference field="4294967294" count="1" selected="0">
            <x v="0"/>
          </reference>
          <reference field="2" count="1" selected="0">
            <x v="3"/>
          </reference>
        </references>
      </pivotArea>
    </chartFormat>
    <chartFormat chart="5" format="15" series="1">
      <pivotArea type="data" outline="0" fieldPosition="0">
        <references count="2">
          <reference field="4294967294" count="1" selected="0">
            <x v="0"/>
          </reference>
          <reference field="2" count="1" selected="0">
            <x v="4"/>
          </reference>
        </references>
      </pivotArea>
    </chartFormat>
    <chartFormat chart="5" format="16" series="1">
      <pivotArea type="data" outline="0" fieldPosition="0">
        <references count="1">
          <reference field="4294967294" count="1" selected="0">
            <x v="0"/>
          </reference>
        </references>
      </pivotArea>
    </chartFormat>
    <chartFormat chart="9" format="11" series="1">
      <pivotArea type="data" outline="0" fieldPosition="0">
        <references count="2">
          <reference field="4294967294" count="1" selected="0">
            <x v="0"/>
          </reference>
          <reference field="2" count="1" selected="0">
            <x v="0"/>
          </reference>
        </references>
      </pivotArea>
    </chartFormat>
    <chartFormat chart="9" format="12" series="1">
      <pivotArea type="data" outline="0" fieldPosition="0">
        <references count="2">
          <reference field="4294967294" count="1" selected="0">
            <x v="0"/>
          </reference>
          <reference field="2" count="1" selected="0">
            <x v="1"/>
          </reference>
        </references>
      </pivotArea>
    </chartFormat>
    <chartFormat chart="9" format="13" series="1">
      <pivotArea type="data" outline="0" fieldPosition="0">
        <references count="2">
          <reference field="4294967294" count="1" selected="0">
            <x v="0"/>
          </reference>
          <reference field="2" count="1" selected="0">
            <x v="2"/>
          </reference>
        </references>
      </pivotArea>
    </chartFormat>
    <chartFormat chart="9" format="14" series="1">
      <pivotArea type="data" outline="0" fieldPosition="0">
        <references count="2">
          <reference field="4294967294" count="1" selected="0">
            <x v="0"/>
          </reference>
          <reference field="2" count="1" selected="0">
            <x v="3"/>
          </reference>
        </references>
      </pivotArea>
    </chartFormat>
    <chartFormat chart="9" format="15" series="1">
      <pivotArea type="data" outline="0" fieldPosition="0">
        <references count="2">
          <reference field="4294967294" count="1" selected="0">
            <x v="0"/>
          </reference>
          <reference field="2" count="1" selected="0">
            <x v="4"/>
          </reference>
        </references>
      </pivotArea>
    </chartFormat>
    <chartFormat chart="9"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E2BC7D-3128-40B9-833C-043D936D6A4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17:K123" firstHeaderRow="1" firstDataRow="2" firstDataCol="1"/>
  <pivotFields count="21">
    <pivotField showAll="0"/>
    <pivotField showAll="0">
      <items count="6">
        <item x="4"/>
        <item x="0"/>
        <item x="3"/>
        <item x="2"/>
        <item x="1"/>
        <item t="default"/>
      </items>
    </pivotField>
    <pivotField axis="axisRow" multipleItemSelectionAllowed="1" showAll="0" sortType="ascending">
      <items count="6">
        <item x="0"/>
        <item x="2"/>
        <item x="1"/>
        <item x="4"/>
        <item x="3"/>
        <item t="default"/>
      </items>
    </pivotField>
    <pivotField axis="axisCol" multipleItemSelectionAllowed="1" showAll="0" sortType="ascending">
      <items count="11">
        <item x="0"/>
        <item x="8"/>
        <item x="3"/>
        <item x="7"/>
        <item x="2"/>
        <item x="5"/>
        <item x="6"/>
        <item x="4"/>
        <item x="9"/>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5">
    <i>
      <x/>
    </i>
    <i>
      <x v="1"/>
    </i>
    <i>
      <x v="2"/>
    </i>
    <i>
      <x v="3"/>
    </i>
    <i>
      <x v="4"/>
    </i>
  </rowItems>
  <colFields count="1">
    <field x="3"/>
  </colFields>
  <colItems count="10">
    <i>
      <x/>
    </i>
    <i>
      <x v="1"/>
    </i>
    <i>
      <x v="2"/>
    </i>
    <i>
      <x v="3"/>
    </i>
    <i>
      <x v="4"/>
    </i>
    <i>
      <x v="5"/>
    </i>
    <i>
      <x v="6"/>
    </i>
    <i>
      <x v="7"/>
    </i>
    <i>
      <x v="8"/>
    </i>
    <i>
      <x v="9"/>
    </i>
  </colItems>
  <dataFields count="1">
    <dataField name="Average of FI_All_Index" fld="18" subtotal="average" baseField="2" baseItem="0"/>
  </dataFields>
  <formats count="1">
    <format dxfId="15">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6DD575-F95A-4BFF-97F7-B9D0A912A27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0:F21" firstHeaderRow="1" firstDataRow="2" firstDataCol="1"/>
  <pivotFields count="21">
    <pivotField showAll="0"/>
    <pivotField showAll="0">
      <items count="6">
        <item x="4"/>
        <item x="0"/>
        <item x="3"/>
        <item x="2"/>
        <item x="1"/>
        <item t="default"/>
      </items>
    </pivotField>
    <pivotField axis="axisCol" multipleItemSelectionAllowed="1" showAll="0">
      <items count="6">
        <item x="0"/>
        <item x="2"/>
        <item x="1"/>
        <item x="4"/>
        <item x="3"/>
        <item t="default"/>
      </items>
    </pivotField>
    <pivotField axis="axisRow" multipleItemSelectionAllowed="1" showAll="0">
      <items count="11">
        <item x="0"/>
        <item x="8"/>
        <item x="3"/>
        <item x="7"/>
        <item x="2"/>
        <item x="5"/>
        <item x="6"/>
        <item x="4"/>
        <item x="9"/>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10">
    <i>
      <x/>
    </i>
    <i>
      <x v="1"/>
    </i>
    <i>
      <x v="2"/>
    </i>
    <i>
      <x v="3"/>
    </i>
    <i>
      <x v="4"/>
    </i>
    <i>
      <x v="5"/>
    </i>
    <i>
      <x v="6"/>
    </i>
    <i>
      <x v="7"/>
    </i>
    <i>
      <x v="8"/>
    </i>
    <i>
      <x v="9"/>
    </i>
  </rowItems>
  <colFields count="1">
    <field x="2"/>
  </colFields>
  <colItems count="5">
    <i>
      <x/>
    </i>
    <i>
      <x v="1"/>
    </i>
    <i>
      <x v="2"/>
    </i>
    <i>
      <x v="3"/>
    </i>
    <i>
      <x v="4"/>
    </i>
  </colItems>
  <dataFields count="1">
    <dataField name="AVG E_GOV_Index" fld="14" subtotal="average" baseField="2" baseItem="0"/>
  </dataFields>
  <chartFormats count="22">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3"/>
          </reference>
        </references>
      </pivotArea>
    </chartFormat>
    <chartFormat chart="7" format="4" series="1">
      <pivotArea type="data" outline="0" fieldPosition="0">
        <references count="2">
          <reference field="4294967294" count="1" selected="0">
            <x v="0"/>
          </reference>
          <reference field="2" count="1" selected="0">
            <x v="4"/>
          </reference>
        </references>
      </pivotArea>
    </chartFormat>
    <chartFormat chart="7" format="5" series="1">
      <pivotArea type="data" outline="0" fieldPosition="0">
        <references count="1">
          <reference field="4294967294" count="1" selected="0">
            <x v="0"/>
          </reference>
        </references>
      </pivotArea>
    </chartFormat>
    <chartFormat chart="9" format="11" series="1">
      <pivotArea type="data" outline="0" fieldPosition="0">
        <references count="2">
          <reference field="4294967294" count="1" selected="0">
            <x v="0"/>
          </reference>
          <reference field="2" count="1" selected="0">
            <x v="0"/>
          </reference>
        </references>
      </pivotArea>
    </chartFormat>
    <chartFormat chart="9" format="12" series="1">
      <pivotArea type="data" outline="0" fieldPosition="0">
        <references count="2">
          <reference field="4294967294" count="1" selected="0">
            <x v="0"/>
          </reference>
          <reference field="2" count="1" selected="0">
            <x v="1"/>
          </reference>
        </references>
      </pivotArea>
    </chartFormat>
    <chartFormat chart="9" format="13" series="1">
      <pivotArea type="data" outline="0" fieldPosition="0">
        <references count="2">
          <reference field="4294967294" count="1" selected="0">
            <x v="0"/>
          </reference>
          <reference field="2" count="1" selected="0">
            <x v="2"/>
          </reference>
        </references>
      </pivotArea>
    </chartFormat>
    <chartFormat chart="9" format="14" series="1">
      <pivotArea type="data" outline="0" fieldPosition="0">
        <references count="2">
          <reference field="4294967294" count="1" selected="0">
            <x v="0"/>
          </reference>
          <reference field="2" count="1" selected="0">
            <x v="3"/>
          </reference>
        </references>
      </pivotArea>
    </chartFormat>
    <chartFormat chart="9" format="15" series="1">
      <pivotArea type="data" outline="0" fieldPosition="0">
        <references count="2">
          <reference field="4294967294" count="1" selected="0">
            <x v="0"/>
          </reference>
          <reference field="2" count="1" selected="0">
            <x v="4"/>
          </reference>
        </references>
      </pivotArea>
    </chartFormat>
    <chartFormat chart="10" format="6" series="1">
      <pivotArea type="data" outline="0" fieldPosition="0">
        <references count="2">
          <reference field="4294967294" count="1" selected="0">
            <x v="0"/>
          </reference>
          <reference field="2" count="1" selected="0">
            <x v="0"/>
          </reference>
        </references>
      </pivotArea>
    </chartFormat>
    <chartFormat chart="10" format="7"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2">
          <reference field="4294967294" count="1" selected="0">
            <x v="0"/>
          </reference>
          <reference field="2" count="1" selected="0">
            <x v="2"/>
          </reference>
        </references>
      </pivotArea>
    </chartFormat>
    <chartFormat chart="10" format="9" series="1">
      <pivotArea type="data" outline="0" fieldPosition="0">
        <references count="2">
          <reference field="4294967294" count="1" selected="0">
            <x v="0"/>
          </reference>
          <reference field="2" count="1" selected="0">
            <x v="3"/>
          </reference>
        </references>
      </pivotArea>
    </chartFormat>
    <chartFormat chart="10" format="10" series="1">
      <pivotArea type="data" outline="0" fieldPosition="0">
        <references count="2">
          <reference field="4294967294" count="1" selected="0">
            <x v="0"/>
          </reference>
          <reference field="2" count="1" selected="0">
            <x v="4"/>
          </reference>
        </references>
      </pivotArea>
    </chartFormat>
    <chartFormat chart="11" format="11" series="1">
      <pivotArea type="data" outline="0" fieldPosition="0">
        <references count="2">
          <reference field="4294967294" count="1" selected="0">
            <x v="0"/>
          </reference>
          <reference field="2" count="1" selected="0">
            <x v="0"/>
          </reference>
        </references>
      </pivotArea>
    </chartFormat>
    <chartFormat chart="11" format="12" series="1">
      <pivotArea type="data" outline="0" fieldPosition="0">
        <references count="2">
          <reference field="4294967294" count="1" selected="0">
            <x v="0"/>
          </reference>
          <reference field="2" count="1" selected="0">
            <x v="1"/>
          </reference>
        </references>
      </pivotArea>
    </chartFormat>
    <chartFormat chart="11" format="13" series="1">
      <pivotArea type="data" outline="0" fieldPosition="0">
        <references count="2">
          <reference field="4294967294" count="1" selected="0">
            <x v="0"/>
          </reference>
          <reference field="2" count="1" selected="0">
            <x v="2"/>
          </reference>
        </references>
      </pivotArea>
    </chartFormat>
    <chartFormat chart="11" format="14" series="1">
      <pivotArea type="data" outline="0" fieldPosition="0">
        <references count="2">
          <reference field="4294967294" count="1" selected="0">
            <x v="0"/>
          </reference>
          <reference field="2" count="1" selected="0">
            <x v="3"/>
          </reference>
        </references>
      </pivotArea>
    </chartFormat>
    <chartFormat chart="11" format="15" series="1">
      <pivotArea type="data" outline="0" fieldPosition="0">
        <references count="2">
          <reference field="4294967294" count="1" selected="0">
            <x v="0"/>
          </reference>
          <reference field="2" count="1" selected="0">
            <x v="4"/>
          </reference>
        </references>
      </pivotArea>
    </chartFormat>
    <chartFormat chart="11"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BB7B9E-9275-4A59-84C8-4C4D935D47D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33:D138" firstHeaderRow="0" firstDataRow="1" firstDataCol="1"/>
  <pivotFields count="21">
    <pivotField showAll="0"/>
    <pivotField showAll="0">
      <items count="6">
        <item x="4"/>
        <item x="0"/>
        <item x="3"/>
        <item x="2"/>
        <item x="1"/>
        <item t="default"/>
      </items>
    </pivotField>
    <pivotField axis="axisRow" multipleItemSelectionAllowed="1" showAll="0" sortType="ascending">
      <items count="6">
        <item x="0"/>
        <item x="2"/>
        <item x="1"/>
        <item x="4"/>
        <item x="3"/>
        <item t="default"/>
      </items>
    </pivotField>
    <pivotField multipleItemSelectionAllowed="1" showAll="0" sortType="ascending"/>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2"/>
  </rowFields>
  <rowItems count="5">
    <i>
      <x/>
    </i>
    <i>
      <x v="1"/>
    </i>
    <i>
      <x v="2"/>
    </i>
    <i>
      <x v="3"/>
    </i>
    <i>
      <x v="4"/>
    </i>
  </rowItems>
  <colFields count="1">
    <field x="-2"/>
  </colFields>
  <colItems count="3">
    <i>
      <x/>
    </i>
    <i i="1">
      <x v="1"/>
    </i>
    <i i="2">
      <x v="2"/>
    </i>
  </colItems>
  <dataFields count="3">
    <dataField name="Average of E_GOV_Index" fld="14" subtotal="average" baseField="2" baseItem="0"/>
    <dataField name="Average of Internet_All_Index" fld="7" subtotal="average" baseField="2" baseItem="0"/>
    <dataField name="Average of Digital_Payments_Index" fld="15" subtotal="average" baseField="2" baseItem="0"/>
  </dataFields>
  <formats count="1">
    <format dxfId="16">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3B9DA6-989F-4772-AAFC-099EAF681D1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06:K112" firstHeaderRow="1" firstDataRow="2" firstDataCol="1"/>
  <pivotFields count="21">
    <pivotField showAll="0"/>
    <pivotField showAll="0">
      <items count="6">
        <item x="4"/>
        <item x="0"/>
        <item x="3"/>
        <item x="2"/>
        <item x="1"/>
        <item t="default"/>
      </items>
    </pivotField>
    <pivotField axis="axisRow" multipleItemSelectionAllowed="1" showAll="0" sortType="ascending">
      <items count="6">
        <item x="0"/>
        <item x="2"/>
        <item x="1"/>
        <item x="4"/>
        <item x="3"/>
        <item t="default"/>
      </items>
    </pivotField>
    <pivotField axis="axisCol" multipleItemSelectionAllowed="1" showAll="0" sortType="ascending">
      <items count="11">
        <item x="0"/>
        <item x="8"/>
        <item x="3"/>
        <item x="7"/>
        <item x="2"/>
        <item x="5"/>
        <item x="6"/>
        <item x="4"/>
        <item x="9"/>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5">
    <i>
      <x/>
    </i>
    <i>
      <x v="1"/>
    </i>
    <i>
      <x v="2"/>
    </i>
    <i>
      <x v="3"/>
    </i>
    <i>
      <x v="4"/>
    </i>
  </rowItems>
  <colFields count="1">
    <field x="3"/>
  </colFields>
  <colItems count="10">
    <i>
      <x/>
    </i>
    <i>
      <x v="1"/>
    </i>
    <i>
      <x v="2"/>
    </i>
    <i>
      <x v="3"/>
    </i>
    <i>
      <x v="4"/>
    </i>
    <i>
      <x v="5"/>
    </i>
    <i>
      <x v="6"/>
    </i>
    <i>
      <x v="7"/>
    </i>
    <i>
      <x v="8"/>
    </i>
    <i>
      <x v="9"/>
    </i>
  </colItems>
  <dataFields count="1">
    <dataField name="Average of Digital_Transformation_Index" fld="19" subtotal="average" baseField="2" baseItem="0"/>
  </dataFields>
  <formats count="1">
    <format dxfId="17">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5D5FD9-8CF1-4E08-AA40-4A3390A0189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29:F40" firstHeaderRow="1" firstDataRow="2" firstDataCol="1"/>
  <pivotFields count="21">
    <pivotField showAll="0"/>
    <pivotField showAll="0">
      <items count="6">
        <item x="4"/>
        <item x="0"/>
        <item x="3"/>
        <item x="2"/>
        <item x="1"/>
        <item t="default"/>
      </items>
    </pivotField>
    <pivotField axis="axisCol" multipleItemSelectionAllowed="1" showAll="0">
      <items count="6">
        <item x="0"/>
        <item x="2"/>
        <item x="1"/>
        <item x="4"/>
        <item x="3"/>
        <item t="default"/>
      </items>
    </pivotField>
    <pivotField axis="axisRow" multipleItemSelectionAllowed="1" showAll="0">
      <items count="11">
        <item x="0"/>
        <item x="8"/>
        <item x="3"/>
        <item x="7"/>
        <item x="2"/>
        <item x="5"/>
        <item x="6"/>
        <item x="4"/>
        <item x="9"/>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x v="9"/>
    </i>
  </rowItems>
  <colFields count="1">
    <field x="2"/>
  </colFields>
  <colItems count="5">
    <i>
      <x/>
    </i>
    <i>
      <x v="1"/>
    </i>
    <i>
      <x v="2"/>
    </i>
    <i>
      <x v="3"/>
    </i>
    <i>
      <x v="4"/>
    </i>
  </colItems>
  <dataFields count="1">
    <dataField name="Average of Internet_All_Index" fld="7" subtotal="average" baseField="3" baseItem="0"/>
  </dataFields>
  <chartFormats count="1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1">
          <reference field="4294967294" count="1" selected="0">
            <x v="0"/>
          </reference>
        </references>
      </pivotArea>
    </chartFormat>
    <chartFormat chart="4" format="11" series="1">
      <pivotArea type="data" outline="0" fieldPosition="0">
        <references count="2">
          <reference field="4294967294" count="1" selected="0">
            <x v="0"/>
          </reference>
          <reference field="2" count="1" selected="0">
            <x v="0"/>
          </reference>
        </references>
      </pivotArea>
    </chartFormat>
    <chartFormat chart="4" format="12" series="1">
      <pivotArea type="data" outline="0" fieldPosition="0">
        <references count="2">
          <reference field="4294967294" count="1" selected="0">
            <x v="0"/>
          </reference>
          <reference field="2" count="1" selected="0">
            <x v="1"/>
          </reference>
        </references>
      </pivotArea>
    </chartFormat>
    <chartFormat chart="4" format="13" series="1">
      <pivotArea type="data" outline="0" fieldPosition="0">
        <references count="2">
          <reference field="4294967294" count="1" selected="0">
            <x v="0"/>
          </reference>
          <reference field="2" count="1" selected="0">
            <x v="2"/>
          </reference>
        </references>
      </pivotArea>
    </chartFormat>
    <chartFormat chart="4" format="14" series="1">
      <pivotArea type="data" outline="0" fieldPosition="0">
        <references count="2">
          <reference field="4294967294" count="1" selected="0">
            <x v="0"/>
          </reference>
          <reference field="2" count="1" selected="0">
            <x v="3"/>
          </reference>
        </references>
      </pivotArea>
    </chartFormat>
    <chartFormat chart="4" format="15" series="1">
      <pivotArea type="data" outline="0" fieldPosition="0">
        <references count="2">
          <reference field="4294967294" count="1" selected="0">
            <x v="0"/>
          </reference>
          <reference field="2" count="1" selected="0">
            <x v="4"/>
          </reference>
        </references>
      </pivotArea>
    </chartFormat>
    <chartFormat chart="4" format="16" series="1">
      <pivotArea type="data" outline="0" fieldPosition="0">
        <references count="1">
          <reference field="4294967294" count="1" selected="0">
            <x v="0"/>
          </reference>
        </references>
      </pivotArea>
    </chartFormat>
    <chartFormat chart="14" format="11" series="1">
      <pivotArea type="data" outline="0" fieldPosition="0">
        <references count="2">
          <reference field="4294967294" count="1" selected="0">
            <x v="0"/>
          </reference>
          <reference field="2" count="1" selected="0">
            <x v="0"/>
          </reference>
        </references>
      </pivotArea>
    </chartFormat>
    <chartFormat chart="14" format="12" series="1">
      <pivotArea type="data" outline="0" fieldPosition="0">
        <references count="2">
          <reference field="4294967294" count="1" selected="0">
            <x v="0"/>
          </reference>
          <reference field="2" count="1" selected="0">
            <x v="1"/>
          </reference>
        </references>
      </pivotArea>
    </chartFormat>
    <chartFormat chart="14" format="13" series="1">
      <pivotArea type="data" outline="0" fieldPosition="0">
        <references count="2">
          <reference field="4294967294" count="1" selected="0">
            <x v="0"/>
          </reference>
          <reference field="2" count="1" selected="0">
            <x v="2"/>
          </reference>
        </references>
      </pivotArea>
    </chartFormat>
    <chartFormat chart="14" format="14" series="1">
      <pivotArea type="data" outline="0" fieldPosition="0">
        <references count="2">
          <reference field="4294967294" count="1" selected="0">
            <x v="0"/>
          </reference>
          <reference field="2" count="1" selected="0">
            <x v="3"/>
          </reference>
        </references>
      </pivotArea>
    </chartFormat>
    <chartFormat chart="14" format="15" series="1">
      <pivotArea type="data" outline="0" fieldPosition="0">
        <references count="2">
          <reference field="4294967294" count="1" selected="0">
            <x v="0"/>
          </reference>
          <reference field="2" count="1" selected="0">
            <x v="4"/>
          </reference>
        </references>
      </pivotArea>
    </chartFormat>
    <chartFormat chart="14"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2E5684-C1D3-410C-AF03-215E70045B1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68:F79" firstHeaderRow="1" firstDataRow="2" firstDataCol="1"/>
  <pivotFields count="21">
    <pivotField showAll="0"/>
    <pivotField showAll="0">
      <items count="6">
        <item x="4"/>
        <item x="0"/>
        <item x="3"/>
        <item x="2"/>
        <item x="1"/>
        <item t="default"/>
      </items>
    </pivotField>
    <pivotField axis="axisCol" multipleItemSelectionAllowed="1" showAll="0">
      <items count="6">
        <item x="0"/>
        <item x="2"/>
        <item x="1"/>
        <item x="4"/>
        <item x="3"/>
        <item t="default"/>
      </items>
    </pivotField>
    <pivotField axis="axisRow" multipleItemSelectionAllowed="1" showAll="0">
      <items count="11">
        <item x="0"/>
        <item x="8"/>
        <item x="3"/>
        <item x="7"/>
        <item x="2"/>
        <item x="5"/>
        <item x="6"/>
        <item x="4"/>
        <item x="9"/>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10">
    <i>
      <x/>
    </i>
    <i>
      <x v="1"/>
    </i>
    <i>
      <x v="2"/>
    </i>
    <i>
      <x v="3"/>
    </i>
    <i>
      <x v="4"/>
    </i>
    <i>
      <x v="5"/>
    </i>
    <i>
      <x v="6"/>
    </i>
    <i>
      <x v="7"/>
    </i>
    <i>
      <x v="8"/>
    </i>
    <i>
      <x v="9"/>
    </i>
  </rowItems>
  <colFields count="1">
    <field x="2"/>
  </colFields>
  <colItems count="5">
    <i>
      <x/>
    </i>
    <i>
      <x v="1"/>
    </i>
    <i>
      <x v="2"/>
    </i>
    <i>
      <x v="3"/>
    </i>
    <i>
      <x v="4"/>
    </i>
  </colItems>
  <dataFields count="1">
    <dataField name="Average of FI_All_Index" fld="18" subtotal="average" baseField="3" baseItem="0"/>
  </dataFields>
  <chartFormats count="1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2" count="1" selected="0">
            <x v="0"/>
          </reference>
        </references>
      </pivotArea>
    </chartFormat>
    <chartFormat chart="6" format="12" series="1">
      <pivotArea type="data" outline="0" fieldPosition="0">
        <references count="2">
          <reference field="4294967294" count="1" selected="0">
            <x v="0"/>
          </reference>
          <reference field="2" count="1" selected="0">
            <x v="1"/>
          </reference>
        </references>
      </pivotArea>
    </chartFormat>
    <chartFormat chart="6" format="13" series="1">
      <pivotArea type="data" outline="0" fieldPosition="0">
        <references count="2">
          <reference field="4294967294" count="1" selected="0">
            <x v="0"/>
          </reference>
          <reference field="2" count="1" selected="0">
            <x v="2"/>
          </reference>
        </references>
      </pivotArea>
    </chartFormat>
    <chartFormat chart="6" format="14" series="1">
      <pivotArea type="data" outline="0" fieldPosition="0">
        <references count="2">
          <reference field="4294967294" count="1" selected="0">
            <x v="0"/>
          </reference>
          <reference field="2" count="1" selected="0">
            <x v="3"/>
          </reference>
        </references>
      </pivotArea>
    </chartFormat>
    <chartFormat chart="6" format="15" series="1">
      <pivotArea type="data" outline="0" fieldPosition="0">
        <references count="2">
          <reference field="4294967294" count="1" selected="0">
            <x v="0"/>
          </reference>
          <reference field="2" count="1" selected="0">
            <x v="4"/>
          </reference>
        </references>
      </pivotArea>
    </chartFormat>
    <chartFormat chart="6" format="16" series="1">
      <pivotArea type="data" outline="0" fieldPosition="0">
        <references count="1">
          <reference field="4294967294" count="1" selected="0">
            <x v="0"/>
          </reference>
        </references>
      </pivotArea>
    </chartFormat>
    <chartFormat chart="10" format="11" series="1">
      <pivotArea type="data" outline="0" fieldPosition="0">
        <references count="2">
          <reference field="4294967294" count="1" selected="0">
            <x v="0"/>
          </reference>
          <reference field="2" count="1" selected="0">
            <x v="0"/>
          </reference>
        </references>
      </pivotArea>
    </chartFormat>
    <chartFormat chart="10" format="12" series="1">
      <pivotArea type="data" outline="0" fieldPosition="0">
        <references count="2">
          <reference field="4294967294" count="1" selected="0">
            <x v="0"/>
          </reference>
          <reference field="2" count="1" selected="0">
            <x v="1"/>
          </reference>
        </references>
      </pivotArea>
    </chartFormat>
    <chartFormat chart="10" format="13" series="1">
      <pivotArea type="data" outline="0" fieldPosition="0">
        <references count="2">
          <reference field="4294967294" count="1" selected="0">
            <x v="0"/>
          </reference>
          <reference field="2" count="1" selected="0">
            <x v="2"/>
          </reference>
        </references>
      </pivotArea>
    </chartFormat>
    <chartFormat chart="10" format="14" series="1">
      <pivotArea type="data" outline="0" fieldPosition="0">
        <references count="2">
          <reference field="4294967294" count="1" selected="0">
            <x v="0"/>
          </reference>
          <reference field="2" count="1" selected="0">
            <x v="3"/>
          </reference>
        </references>
      </pivotArea>
    </chartFormat>
    <chartFormat chart="10" format="15" series="1">
      <pivotArea type="data" outline="0" fieldPosition="0">
        <references count="2">
          <reference field="4294967294" count="1" selected="0">
            <x v="0"/>
          </reference>
          <reference field="2" count="1" selected="0">
            <x v="4"/>
          </reference>
        </references>
      </pivotArea>
    </chartFormat>
    <chartFormat chart="1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6D02F9-7D3A-400F-97EC-0B4F3EC7E55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02:B107" firstHeaderRow="1" firstDataRow="1" firstDataCol="1"/>
  <pivotFields count="21">
    <pivotField showAll="0"/>
    <pivotField showAll="0">
      <items count="6">
        <item x="4"/>
        <item x="0"/>
        <item x="3"/>
        <item x="2"/>
        <item x="1"/>
        <item t="default"/>
      </items>
    </pivotField>
    <pivotField axis="axisRow" showAll="0" sortType="descending">
      <items count="6">
        <item x="3"/>
        <item x="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Average of Digital_Payments_Index" fld="1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BD4BA5-BABF-47DA-98FA-61803F02561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21">
    <pivotField showAll="0"/>
    <pivotField showAll="0">
      <items count="6">
        <item x="4"/>
        <item x="0"/>
        <item x="3"/>
        <item x="2"/>
        <item x="1"/>
        <item t="default"/>
      </items>
    </pivotField>
    <pivotField axis="axisRow" showAll="0" sortType="descending">
      <items count="6">
        <item x="3"/>
        <item x="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Average of E_GOV_Index" fld="14" subtotal="average" baseField="2" baseItem="0"/>
  </dataFields>
  <chartFormats count="2">
    <chartFormat chart="0"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40D6B5-B666-4C19-9FD9-8EAAE3F37B1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86:B91" firstHeaderRow="1" firstDataRow="1" firstDataCol="1"/>
  <pivotFields count="21">
    <pivotField showAll="0"/>
    <pivotField showAll="0">
      <items count="6">
        <item x="4"/>
        <item x="0"/>
        <item x="3"/>
        <item x="2"/>
        <item x="1"/>
        <item t="default"/>
      </items>
    </pivotField>
    <pivotField axis="axisRow" showAll="0" sortType="descending">
      <items count="6">
        <item x="3"/>
        <item x="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Average of E_GOV_Index" fld="1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B0A9F4-DE26-49DB-B33D-EDE2CFE47D1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94:B99" firstHeaderRow="1" firstDataRow="1" firstDataCol="1"/>
  <pivotFields count="21">
    <pivotField showAll="0"/>
    <pivotField showAll="0">
      <items count="6">
        <item x="4"/>
        <item x="0"/>
        <item x="3"/>
        <item x="2"/>
        <item x="1"/>
        <item t="default"/>
      </items>
    </pivotField>
    <pivotField axis="axisRow" showAll="0" sortType="descending">
      <items count="6">
        <item x="3"/>
        <item x="4"/>
        <item x="1"/>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Average of Internet_All_Index"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B748C5-CDE0-4610-81E4-9A8FC71FF64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9:B34" firstHeaderRow="1" firstDataRow="1" firstDataCol="1"/>
  <pivotFields count="21">
    <pivotField showAll="0"/>
    <pivotField showAll="0">
      <items count="6">
        <item x="4"/>
        <item x="0"/>
        <item x="3"/>
        <item x="2"/>
        <item x="1"/>
        <item t="default"/>
      </items>
    </pivotField>
    <pivotField axis="axisRow" showAll="0" sortType="descending">
      <items count="6">
        <item x="3"/>
        <item x="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
    </i>
    <i>
      <x/>
    </i>
    <i>
      <x v="2"/>
    </i>
    <i>
      <x v="4"/>
    </i>
    <i>
      <x v="3"/>
    </i>
  </rowItems>
  <colItems count="1">
    <i/>
  </colItems>
  <dataFields count="1">
    <dataField name="Avg Internet Index" fld="7" subtotal="average" baseField="2" baseItem="1"/>
  </dataFields>
  <chartFormats count="2">
    <chartFormat chart="1"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ABE69F-3C6D-4A8C-A5F8-7BA67075A90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78:B83" firstHeaderRow="1" firstDataRow="1" firstDataCol="1"/>
  <pivotFields count="21">
    <pivotField showAll="0"/>
    <pivotField showAll="0">
      <items count="6">
        <item x="4"/>
        <item x="0"/>
        <item x="3"/>
        <item x="2"/>
        <item x="1"/>
        <item t="default"/>
      </items>
    </pivotField>
    <pivotField axis="axisRow" showAll="0" sortType="descending">
      <items count="6">
        <item x="3"/>
        <item x="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5">
    <i>
      <x/>
    </i>
    <i>
      <x v="1"/>
    </i>
    <i>
      <x v="2"/>
    </i>
    <i>
      <x v="3"/>
    </i>
    <i>
      <x v="4"/>
    </i>
  </rowItems>
  <colItems count="1">
    <i/>
  </colItems>
  <dataFields count="1">
    <dataField name="Average of FI_All_Index" fld="1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F21F53F-B512-443E-980C-DFED4970613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9:B24" firstHeaderRow="1" firstDataRow="1" firstDataCol="1"/>
  <pivotFields count="21">
    <pivotField showAll="0"/>
    <pivotField showAll="0">
      <items count="6">
        <item x="4"/>
        <item x="0"/>
        <item x="3"/>
        <item x="2"/>
        <item x="1"/>
        <item t="default"/>
      </items>
    </pivotField>
    <pivotField axis="axisRow" showAll="0" sortType="descending">
      <items count="6">
        <item x="3"/>
        <item x="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5">
    <i>
      <x v="2"/>
    </i>
    <i>
      <x/>
    </i>
    <i>
      <x v="1"/>
    </i>
    <i>
      <x v="3"/>
    </i>
    <i>
      <x v="4"/>
    </i>
  </rowItems>
  <colItems count="1">
    <i/>
  </colItems>
  <dataFields count="1">
    <dataField name="Average of Digital_Payments_Index" fld="15" subtotal="average" baseField="2" baseItem="0"/>
  </dataField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B44F33-65BE-43FB-9098-8C50423770F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50:B55" firstHeaderRow="1" firstDataRow="1" firstDataCol="1"/>
  <pivotFields count="21">
    <pivotField showAll="0"/>
    <pivotField showAll="0">
      <items count="6">
        <item x="4"/>
        <item x="0"/>
        <item x="3"/>
        <item x="2"/>
        <item x="1"/>
        <item t="default"/>
      </items>
    </pivotField>
    <pivotField axis="axisRow" showAll="0" sortType="descending">
      <items count="6">
        <item x="3"/>
        <item x="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5">
    <i>
      <x v="1"/>
    </i>
    <i>
      <x/>
    </i>
    <i>
      <x v="2"/>
    </i>
    <i>
      <x v="4"/>
    </i>
    <i>
      <x v="3"/>
    </i>
  </rowItems>
  <colItems count="1">
    <i/>
  </colItems>
  <dataFields count="1">
    <dataField name="Average of Digital_Transformation_Index" fld="19" subtotal="average" baseField="2" baseItem="0"/>
  </dataFields>
  <chartFormats count="3">
    <chartFormat chart="14" format="1"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09DF9F2-693C-4A68-9377-A5A01B05011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68:B73" firstHeaderRow="1" firstDataRow="1"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Average of Digital_Transformation_Index" fld="1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ADB7F30-4CDD-4F3C-8880-2A67C223A8C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J20:L25" firstHeaderRow="0" firstDataRow="1"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2"/>
  </colFields>
  <colItems count="2">
    <i>
      <x/>
    </i>
    <i i="1">
      <x v="1"/>
    </i>
  </colItems>
  <dataFields count="2">
    <dataField name="Average of Digital_Payments_Index" fld="15" subtotal="average" baseField="2" baseItem="0"/>
    <dataField name="Average of FI_All_Index" fld="1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C547CE1-B9B9-4E73-B67D-74A1F26ED41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B96:L102" firstHeaderRow="1" firstDataRow="2"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axis="axisCol" compact="0" outline="0" showAll="0">
      <items count="11">
        <item x="0"/>
        <item x="8"/>
        <item x="3"/>
        <item x="7"/>
        <item x="2"/>
        <item x="5"/>
        <item x="6"/>
        <item x="4"/>
        <item x="9"/>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3"/>
  </colFields>
  <colItems count="10">
    <i>
      <x/>
    </i>
    <i>
      <x v="1"/>
    </i>
    <i>
      <x v="2"/>
    </i>
    <i>
      <x v="3"/>
    </i>
    <i>
      <x v="4"/>
    </i>
    <i>
      <x v="5"/>
    </i>
    <i>
      <x v="6"/>
    </i>
    <i>
      <x v="7"/>
    </i>
    <i>
      <x v="8"/>
    </i>
    <i>
      <x v="9"/>
    </i>
  </colItems>
  <dataFields count="1">
    <dataField name="Average of FI_All_Index" fld="1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8CFC64-A948-42C8-9E69-D875D09D647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B86:L92" firstHeaderRow="1" firstDataRow="2"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axis="axisCol" compact="0" outline="0" showAll="0">
      <items count="11">
        <item x="0"/>
        <item x="8"/>
        <item x="3"/>
        <item x="7"/>
        <item x="2"/>
        <item x="5"/>
        <item x="6"/>
        <item x="4"/>
        <item x="9"/>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3"/>
  </colFields>
  <colItems count="10">
    <i>
      <x/>
    </i>
    <i>
      <x v="1"/>
    </i>
    <i>
      <x v="2"/>
    </i>
    <i>
      <x v="3"/>
    </i>
    <i>
      <x v="4"/>
    </i>
    <i>
      <x v="5"/>
    </i>
    <i>
      <x v="6"/>
    </i>
    <i>
      <x v="7"/>
    </i>
    <i>
      <x v="8"/>
    </i>
    <i>
      <x v="9"/>
    </i>
  </colItems>
  <dataFields count="1">
    <dataField name="Average of Digital_Transformation_Index" fld="1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3E6D6F2-56B6-44E3-A631-AC142A88B76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B76:G81" firstHeaderRow="0" firstDataRow="1"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2"/>
  </colFields>
  <colItems count="5">
    <i>
      <x/>
    </i>
    <i i="1">
      <x v="1"/>
    </i>
    <i i="2">
      <x v="2"/>
    </i>
    <i i="3">
      <x v="3"/>
    </i>
    <i i="4">
      <x v="4"/>
    </i>
  </colItems>
  <dataFields count="5">
    <dataField name="Average of Digital_Transformation_Index" fld="19" subtotal="average" baseField="2" baseItem="0"/>
    <dataField name="Average of FI_All_Index" fld="18" subtotal="average" baseField="2" baseItem="0"/>
    <dataField name="Average of E_GOV_Index" fld="14" subtotal="average" baseField="2" baseItem="0"/>
    <dataField name="Average of Internet_All_Index" fld="7" subtotal="average" baseField="2" baseItem="0"/>
    <dataField name="Average of Digital_Payments_Index" fld="1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BBE9E22-9C0F-4D26-B012-7392A7EABFD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J7:L12" firstHeaderRow="0" firstDataRow="1"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2"/>
  </colFields>
  <colItems count="2">
    <i>
      <x/>
    </i>
    <i i="1">
      <x v="1"/>
    </i>
  </colItems>
  <dataFields count="2">
    <dataField name="Average of E_GOV_Index" fld="14" subtotal="average" baseField="2" baseItem="0"/>
    <dataField name="Average of FI_All_Index" fld="1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B43D341-98B3-4292-A68D-9BBED67E31A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27:K33" firstHeaderRow="1" firstDataRow="2"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axis="axisCol" compact="0" outline="0" showAll="0">
      <items count="11">
        <item x="0"/>
        <item x="8"/>
        <item x="3"/>
        <item x="7"/>
        <item x="2"/>
        <item x="5"/>
        <item x="6"/>
        <item x="4"/>
        <item x="9"/>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3"/>
  </colFields>
  <colItems count="10">
    <i>
      <x/>
    </i>
    <i>
      <x v="1"/>
    </i>
    <i>
      <x v="2"/>
    </i>
    <i>
      <x v="3"/>
    </i>
    <i>
      <x v="4"/>
    </i>
    <i>
      <x v="5"/>
    </i>
    <i>
      <x v="6"/>
    </i>
    <i>
      <x v="7"/>
    </i>
    <i>
      <x v="8"/>
    </i>
    <i>
      <x v="9"/>
    </i>
  </colItems>
  <dataFields count="1">
    <dataField name="Average of FI_All_Index" fld="1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45FF916-4F41-426F-A00D-112B3A654F1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A17:K23" firstHeaderRow="1" firstDataRow="2"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axis="axisCol" compact="0" outline="0" showAll="0">
      <items count="11">
        <item x="0"/>
        <item x="8"/>
        <item x="3"/>
        <item x="7"/>
        <item x="2"/>
        <item x="5"/>
        <item x="6"/>
        <item x="4"/>
        <item x="9"/>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3"/>
  </colFields>
  <colItems count="10">
    <i>
      <x/>
    </i>
    <i>
      <x v="1"/>
    </i>
    <i>
      <x v="2"/>
    </i>
    <i>
      <x v="3"/>
    </i>
    <i>
      <x v="4"/>
    </i>
    <i>
      <x v="5"/>
    </i>
    <i>
      <x v="6"/>
    </i>
    <i>
      <x v="7"/>
    </i>
    <i>
      <x v="8"/>
    </i>
    <i>
      <x v="9"/>
    </i>
  </colItems>
  <dataFields count="1">
    <dataField name="Average of Digital_Transformation_Index" fld="1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99C448B-DD48-4BB0-9FF1-A245F85C5C9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59:K65" firstHeaderRow="1" firstDataRow="2"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axis="axisCol" compact="0" outline="0" showAll="0">
      <items count="11">
        <item x="0"/>
        <item x="8"/>
        <item x="3"/>
        <item x="7"/>
        <item x="2"/>
        <item x="5"/>
        <item x="6"/>
        <item x="4"/>
        <item x="9"/>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3"/>
  </colFields>
  <colItems count="10">
    <i>
      <x/>
    </i>
    <i>
      <x v="1"/>
    </i>
    <i>
      <x v="2"/>
    </i>
    <i>
      <x v="3"/>
    </i>
    <i>
      <x v="4"/>
    </i>
    <i>
      <x v="5"/>
    </i>
    <i>
      <x v="6"/>
    </i>
    <i>
      <x v="7"/>
    </i>
    <i>
      <x v="8"/>
    </i>
    <i>
      <x v="9"/>
    </i>
  </colItems>
  <dataFields count="1">
    <dataField name="Average of Internet_All_Index"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29C88EA-9540-406A-B07E-B42A6A584747}" name="PivotTable6" cacheId="6" applyNumberFormats="0" applyBorderFormats="0" applyFontFormats="0" applyPatternFormats="0" applyAlignmentFormats="0" applyWidthHeightFormats="1" dataCaption="Values" tag="6d8ac8a5-f2ee-4cd1-8da4-c9f42da923eb" updatedVersion="8" minRefreshableVersion="3" useAutoFormatting="1" rowGrandTotals="0" colGrandTotals="0" itemPrintTitles="1" createdVersion="5" indent="0" outline="1" outlineData="1" multipleFieldFilters="0" chartFormat="6">
  <location ref="A78:F83"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5">
    <i>
      <x/>
    </i>
    <i i="1">
      <x v="1"/>
    </i>
    <i i="2">
      <x v="2"/>
    </i>
    <i i="3">
      <x v="3"/>
    </i>
    <i i="4">
      <x v="4"/>
    </i>
  </colItems>
  <dataFields count="5">
    <dataField name="Average of DT_Growth%" fld="5" subtotal="average" baseField="0" baseItem="0"/>
    <dataField name="Average FI Growth%" fld="1" subtotal="average" baseField="0" baseItem="0"/>
    <dataField name="Average EGOV Growth%" fld="2" subtotal="average" baseField="0" baseItem="0"/>
    <dataField name="Average Internet Growth%" fld="3" subtotal="average" baseField="0" baseItem="0"/>
    <dataField name="Average Digital Payments Growth%" fld="4" subtotal="average" baseField="0" baseItem="0"/>
  </dataFields>
  <chartFormats count="15">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4"/>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 chart="5" format="12" series="1">
      <pivotArea type="data" outline="0" fieldPosition="0">
        <references count="1">
          <reference field="4294967294" count="1" selected="0">
            <x v="4"/>
          </reference>
        </references>
      </pivotArea>
    </chartFormat>
    <chartFormat chart="5" format="13"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T_Growth%"/>
    <pivotHierarchy dragToData="1" caption="Average FI Growth%"/>
    <pivotHierarchy dragToData="1" caption="Average EGOV Growth%"/>
    <pivotHierarchy dragToData="1" caption="Average Internet Growth%"/>
    <pivotHierarchy dragToData="1" caption="Average Digital Payments Growth%"/>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row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E47A15D-995E-46FD-AEBC-24E6FEFA6F0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48:K54" firstHeaderRow="1" firstDataRow="2"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axis="axisCol" compact="0" outline="0" showAll="0">
      <items count="11">
        <item x="0"/>
        <item x="8"/>
        <item x="3"/>
        <item x="7"/>
        <item x="2"/>
        <item x="5"/>
        <item x="6"/>
        <item x="4"/>
        <item x="9"/>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3"/>
  </colFields>
  <colItems count="10">
    <i>
      <x/>
    </i>
    <i>
      <x v="1"/>
    </i>
    <i>
      <x v="2"/>
    </i>
    <i>
      <x v="3"/>
    </i>
    <i>
      <x v="4"/>
    </i>
    <i>
      <x v="5"/>
    </i>
    <i>
      <x v="6"/>
    </i>
    <i>
      <x v="7"/>
    </i>
    <i>
      <x v="8"/>
    </i>
    <i>
      <x v="9"/>
    </i>
  </colItems>
  <dataFields count="1">
    <dataField name="Average of Digital_Payments_Index" fld="1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635C48A-F8F9-482E-B173-528ED63F0E5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37:K43" firstHeaderRow="1" firstDataRow="2" firstDataCol="1"/>
  <pivotFields count="21">
    <pivotField compact="0" outline="0" showAll="0">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Row" compact="0" outline="0" showAll="0">
      <items count="6">
        <item x="3"/>
        <item x="4"/>
        <item x="1"/>
        <item x="2"/>
        <item x="0"/>
        <item t="default"/>
      </items>
      <extLst>
        <ext xmlns:x14="http://schemas.microsoft.com/office/spreadsheetml/2009/9/main" uri="{2946ED86-A175-432a-8AC1-64E0C546D7DE}">
          <x14:pivotField fillDownLabels="1"/>
        </ext>
      </extLst>
    </pivotField>
    <pivotField axis="axisCol" compact="0" outline="0" showAll="0">
      <items count="11">
        <item x="0"/>
        <item x="8"/>
        <item x="3"/>
        <item x="7"/>
        <item x="2"/>
        <item x="5"/>
        <item x="6"/>
        <item x="4"/>
        <item x="9"/>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3"/>
  </colFields>
  <colItems count="10">
    <i>
      <x/>
    </i>
    <i>
      <x v="1"/>
    </i>
    <i>
      <x v="2"/>
    </i>
    <i>
      <x v="3"/>
    </i>
    <i>
      <x v="4"/>
    </i>
    <i>
      <x v="5"/>
    </i>
    <i>
      <x v="6"/>
    </i>
    <i>
      <x v="7"/>
    </i>
    <i>
      <x v="8"/>
    </i>
    <i>
      <x v="9"/>
    </i>
  </colItems>
  <dataFields count="1">
    <dataField name="Average of E_GOV_Index" fld="1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1" xr16:uid="{7B374C07-8558-4409-A56F-CBBAB2080DEC}" autoFormatId="16" applyNumberFormats="0" applyBorderFormats="0" applyFontFormats="0" applyPatternFormats="0" applyAlignmentFormats="0" applyWidthHeightFormats="0">
  <queryTableRefresh nextId="25">
    <queryTableFields count="20">
      <queryTableField id="1" name="Code_ID" tableColumnId="1"/>
      <queryTableField id="2" name="Country_Code" tableColumnId="2"/>
      <queryTableField id="3" name="Country" tableColumnId="3"/>
      <queryTableField id="4" name="Year" tableColumnId="4"/>
      <queryTableField id="5" name="Internet_Access_Index" tableColumnId="5"/>
      <queryTableField id="6" name="Internet_Affordability_Index" tableColumnId="6"/>
      <queryTableField id="7" name="Internet_Quality_Index" tableColumnId="7"/>
      <queryTableField id="8" name="Internet_All_Index" tableColumnId="8"/>
      <queryTableField id="9" name="EGDI_Rank" tableColumnId="9"/>
      <queryTableField id="10" name="OSI_Value" tableColumnId="10"/>
      <queryTableField id="11" name="TII_Value" tableColumnId="11"/>
      <queryTableField id="12" name="HCI_Value" tableColumnId="12"/>
      <queryTableField id="13" name="EPI_Value" tableColumnId="13"/>
      <queryTableField id="14" name="EPI_Rank" tableColumnId="14"/>
      <queryTableField id="15" name="E_GOV_Index" tableColumnId="15"/>
      <queryTableField id="16" name="Digital_Payments_Index" tableColumnId="16"/>
      <queryTableField id="17" name="FI_Access_Index" tableColumnId="17"/>
      <queryTableField id="18" name="FI_Usage_Index" tableColumnId="18"/>
      <queryTableField id="19" name="FI_All_Index" tableColumnId="19"/>
      <queryTableField id="24" name="Digital_Tranformation_Index" tableColumnId="20"/>
    </queryTableFields>
  </queryTableRefresh>
  <extLst>
    <ext xmlns:x15="http://schemas.microsoft.com/office/spreadsheetml/2010/11/main" uri="{883FBD77-0823-4a55-B5E3-86C4891E6966}">
      <x15:queryTable sourceDataName="Query - Fact_Digital_Transformation_Index"/>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D5D128E9-1915-4128-87C8-41FE189EAE81}" autoFormatId="16" applyNumberFormats="0" applyBorderFormats="0" applyFontFormats="0" applyPatternFormats="0" applyAlignmentFormats="0" applyWidthHeightFormats="0">
  <queryTableRefresh nextId="8">
    <queryTableFields count="7">
      <queryTableField id="1" name="Code_ID" tableColumnId="1"/>
      <queryTableField id="2" name="Country_Code" tableColumnId="2"/>
      <queryTableField id="3" name="Country" tableColumnId="3"/>
      <queryTableField id="4" name="Year" tableColumnId="4"/>
      <queryTableField id="5" name="Access_Index" tableColumnId="5"/>
      <queryTableField id="6" name="Usage_Index" tableColumnId="6"/>
      <queryTableField id="7" name="FI_Index"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C14A46DE-B733-4AFE-BDC8-A6DFE6B742BE}" autoFormatId="16" applyNumberFormats="0" applyBorderFormats="0" applyFontFormats="0" applyPatternFormats="0" applyAlignmentFormats="0" applyWidthHeightFormats="0">
  <queryTableRefresh nextId="6">
    <queryTableFields count="5">
      <queryTableField id="1" name="Code_ID" tableColumnId="1"/>
      <queryTableField id="2" name="Country_Code" tableColumnId="2"/>
      <queryTableField id="3" name="Country" tableColumnId="3"/>
      <queryTableField id="4" name="Year" tableColumnId="4"/>
      <queryTableField id="5" name="Digital_Payments_Index"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811932D6-808B-4E35-BACA-632A62FF0E5F}" autoFormatId="16" applyNumberFormats="0" applyBorderFormats="0" applyFontFormats="0" applyPatternFormats="0" applyAlignmentFormats="0" applyWidthHeightFormats="0">
  <queryTableRefresh nextId="12">
    <queryTableFields count="11">
      <queryTableField id="1" name="Code_ID" tableColumnId="1"/>
      <queryTableField id="2" name="Country_Code" tableColumnId="2"/>
      <queryTableField id="3" name="Country" tableColumnId="3"/>
      <queryTableField id="4" name="Year" tableColumnId="4"/>
      <queryTableField id="5" name="EGDI_Rank" tableColumnId="5"/>
      <queryTableField id="6" name="OSI_Value" tableColumnId="6"/>
      <queryTableField id="7" name="TII_Value" tableColumnId="7"/>
      <queryTableField id="8" name="HCI_Value" tableColumnId="8"/>
      <queryTableField id="9" name="EPI_Value" tableColumnId="9"/>
      <queryTableField id="10" name="EPI_Rank" tableColumnId="10"/>
      <queryTableField id="11" name="E_GOV_Index"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2F262724-A19B-4CBF-B5DB-189F32A6CF12}" autoFormatId="16" applyNumberFormats="0" applyBorderFormats="0" applyFontFormats="0" applyPatternFormats="0" applyAlignmentFormats="0" applyWidthHeightFormats="0">
  <queryTableRefresh nextId="9">
    <queryTableFields count="8">
      <queryTableField id="1" name="Code_ID" tableColumnId="1"/>
      <queryTableField id="2" name="Country_Code" tableColumnId="2"/>
      <queryTableField id="3" name="Country" tableColumnId="3"/>
      <queryTableField id="4" name="Year" tableColumnId="4"/>
      <queryTableField id="5" name="Access_Index" tableColumnId="5"/>
      <queryTableField id="6" name="Affordability_Index" tableColumnId="6"/>
      <queryTableField id="7" name="Quality_Index" tableColumnId="7"/>
      <queryTableField id="8" name="Internet_Index"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ode1" xr10:uid="{761F81D5-E310-4194-B82C-4D0179ACFE3C}" sourceName="Country_Code">
  <pivotTables>
    <pivotTable tabId="9" name="PivotTable4"/>
    <pivotTable tabId="9" name="PivotTable1"/>
    <pivotTable tabId="9" name="PivotTable2"/>
    <pivotTable tabId="9" name="PivotTable3"/>
    <pivotTable tabId="7" name="PivotTable7"/>
    <pivotTable tabId="7" name="PivotTable8"/>
    <pivotTable tabId="7" name="PivotTable5"/>
    <pivotTable tabId="7" name="PivotTable4"/>
    <pivotTable tabId="7" name="PivotTable3"/>
    <pivotTable tabId="7" name="PivotTable2"/>
    <pivotTable tabId="7" name="PivotTable1"/>
    <pivotTable tabId="9" name="PivotTable5"/>
    <pivotTable tabId="9" name="PivotTable6"/>
    <pivotTable tabId="9" name="PivotTable7"/>
    <pivotTable tabId="9" name="PivotTable8"/>
    <pivotTable tabId="12" name="PivotTable10"/>
    <pivotTable tabId="7" name="PivotTable6"/>
    <pivotTable tabId="12" name="PivotTable1"/>
    <pivotTable tabId="12" name="PivotTable3"/>
    <pivotTable tabId="12" name="PivotTable4"/>
    <pivotTable tabId="9" name="PivotTable9"/>
    <pivotTable tabId="12" name="PivotTable2"/>
    <pivotTable tabId="14" name="PivotTable1"/>
    <pivotTable tabId="14" name="PivotTable2"/>
    <pivotTable tabId="14" name="PivotTable3"/>
    <pivotTable tabId="14" name="PivotTable4"/>
    <pivotTable tabId="14" name="PivotTable5"/>
  </pivotTables>
  <data>
    <tabular pivotCacheId="844974518">
      <items count="5">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E0C08E5-AB71-47ED-B510-8B576729231F}" sourceName="[Growth].[Country]">
  <pivotTables>
    <pivotTable tabId="14" name="PivotTable6"/>
  </pivotTables>
  <data>
    <olap pivotCacheId="1788148103">
      <levels count="2">
        <level uniqueName="[Growth].[Country].[(All)]" sourceCaption="(All)" count="0"/>
        <level uniqueName="[Growth].[Country].[Country]" sourceCaption="Country" count="5">
          <ranges>
            <range startItem="0">
              <i n="[Growth].[Country].&amp;[Egypt, Arab Rep]" c="Egypt, Arab Rep"/>
              <i n="[Growth].[Country].&amp;[India]" c="India"/>
              <i n="[Growth].[Country].&amp;[Saudi Arabia]" c="Saudi Arabia"/>
              <i n="[Growth].[Country].&amp;[United Arab Emirates]" c="United Arab Emirates"/>
              <i n="[Growth].[Country].&amp;[United Kingdom]" c="United Kingdom"/>
            </range>
          </ranges>
        </level>
      </levels>
      <selections count="1">
        <selection n="[Growth].[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Code 2" xr10:uid="{14C0F65D-6DBF-4796-882C-501C2B371C14}" cache="Slicer_Country_Code1"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CBC26D5-FD5E-48FE-A595-2D1962EAE0C6}" cache="Slicer_Country_Code1" caption="Count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9B139208-CDF4-4DA0-BF50-A770FD79CF2A}" cache="Slicer_Country_Code1" caption="Count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82E0DA31-7720-413E-99AA-ADF9F5A2B55F}" cache="Slicer_Country" caption="Country"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Code" xr10:uid="{AEC60092-E30F-4B5A-90FC-B06D03C99C64}" cache="Slicer_Country_Code1" caption="Country"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Code 1" xr10:uid="{5A663248-AB13-4D14-9DEF-E9622C383AA0}" cache="Slicer_Country_Code1" caption="Country"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Code 3" xr10:uid="{54AB6206-FFAB-4EF9-9109-26AC7F6EA744}" cache="Slicer_Country_Code1" caption="Country" rowHeight="234950"/>
  <slicer name="Country" xr10:uid="{0DBD5059-1758-489C-B76F-4EB7BAFC2C77}" cache="Slicer_Country" caption="Country" level="1" rowHeight="2349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8261733-14A2-4830-A99A-CB78892DCA17}" name="Table9" displayName="Table9" ref="A39:C44" totalsRowShown="0">
  <autoFilter ref="A39:C44" xr:uid="{68261733-14A2-4830-A99A-CB78892DCA17}"/>
  <tableColumns count="3">
    <tableColumn id="1" xr3:uid="{16F0A627-CB92-429D-8DBA-0B4BE948F001}" name="Country"/>
    <tableColumn id="2" xr3:uid="{811F824D-5D10-4D47-AEC3-0548829DF7EF}" name="Average of Digital_Transformation_Index"/>
    <tableColumn id="3" xr3:uid="{E9692D46-CE5B-4D57-A7A7-DB8B35547DD8}" name="Average of FI_All_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4D3269-0E5A-4A5A-9A92-56B29608F6A7}" name="Table5" displayName="Table5" ref="A3:C8" totalsRowShown="0">
  <autoFilter ref="A3:C8" xr:uid="{864D3269-0E5A-4A5A-9A92-56B29608F6A7}"/>
  <tableColumns count="3">
    <tableColumn id="1" xr3:uid="{8D975E2D-59C3-418C-AC0F-47A52906747A}" name="Country"/>
    <tableColumn id="2" xr3:uid="{05351EC7-0E9E-4928-9587-05BDBED9744D}" name="Average of Internet_All_Index"/>
    <tableColumn id="3" xr3:uid="{51599D6C-EB11-4DC8-B90B-7D2D4E7E54D0}" name="Average of FI_All_Index"/>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9FF09C-34A3-47FB-AA8A-4B9AE67B3195}" name="Table7" displayName="Table7" ref="A21:C26" totalsRowShown="0">
  <autoFilter ref="A21:C26" xr:uid="{999FF09C-34A3-47FB-AA8A-4B9AE67B3195}"/>
  <tableColumns count="3">
    <tableColumn id="1" xr3:uid="{D1FEED03-5CAC-43A3-9438-090FC5EA4C30}" name="Country"/>
    <tableColumn id="2" xr3:uid="{121AA798-360E-407A-8B2F-D3980BFDB0DB}" name="Average of E_GOV_Index"/>
    <tableColumn id="3" xr3:uid="{1E2E0779-F2FB-4670-B13B-8CF458F6EB7B}" name="Average of FI_All_Index"/>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9BED30-AE9F-4B42-B45B-457E69759CA7}" name="Table8" displayName="Table8" ref="A60:C65" totalsRowShown="0">
  <autoFilter ref="A60:C65" xr:uid="{2C9BED30-AE9F-4B42-B45B-457E69759CA7}"/>
  <tableColumns count="3">
    <tableColumn id="1" xr3:uid="{D3837F69-D42B-484F-A1D6-F8CEF2C32197}" name="Country"/>
    <tableColumn id="2" xr3:uid="{F8118D0D-2736-4B65-8E64-10D7975BEF25}" name="Average of Digital_Payments_Index"/>
    <tableColumn id="3" xr3:uid="{F42636DE-2D7F-45E0-9966-8601843EAFBC}" name="Average of FI_All_Index"/>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E1B8E6A-A163-4989-A004-C97FD169184F}" name="Growth" displayName="Growth" ref="A70:F75" totalsRowShown="0">
  <autoFilter ref="A70:F75" xr:uid="{3E1B8E6A-A163-4989-A004-C97FD169184F}"/>
  <tableColumns count="6">
    <tableColumn id="1" xr3:uid="{FCF21D19-1C1F-44DD-8B2F-3FF7F090DB82}" name="Country"/>
    <tableColumn id="2" xr3:uid="{9D4F4785-991A-4D20-9299-91C799D3F927}" name="DT_Growth%"/>
    <tableColumn id="3" xr3:uid="{AA5DF718-6C54-484F-A54E-2419ABC3ADAD}" name="FI_Growth%"/>
    <tableColumn id="4" xr3:uid="{6CF757BF-2C80-4106-B9A1-A19A4680534F}" name="EGOV_Growth%"/>
    <tableColumn id="5" xr3:uid="{21A23FFB-70D3-4445-97B0-3058EA27C978}" name="Internet Penetration Growth%"/>
    <tableColumn id="6" xr3:uid="{9C8623BE-E146-41EE-878F-CB6B4233226F}" name="Digital _Payments Growth%"/>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7FFBD4-43DD-4DDD-AB0F-C7124D348872}" name="Fact_Digital_Transformation_Index" displayName="Fact_Digital_Transformation_Index" ref="A1:T53" tableType="queryTable" totalsRowShown="0">
  <autoFilter ref="A1:T53" xr:uid="{887FFBD4-43DD-4DDD-AB0F-C7124D348872}"/>
  <tableColumns count="20">
    <tableColumn id="1" xr3:uid="{61255E09-4B0D-48AD-B4B6-A3C11D0D0DFD}" uniqueName="1" name="Code_ID" queryTableFieldId="1" dataDxfId="2"/>
    <tableColumn id="2" xr3:uid="{DADB0BA9-8829-4769-8B69-41D93710F186}" uniqueName="2" name="Country_Code" queryTableFieldId="2" dataDxfId="1"/>
    <tableColumn id="3" xr3:uid="{7B087DFB-D951-496B-96AC-B0A83496A991}" uniqueName="3" name="Country" queryTableFieldId="3" dataDxfId="0"/>
    <tableColumn id="4" xr3:uid="{4B9F529B-C623-42FF-BCDB-EBADC6ACA582}" uniqueName="4" name="Year" queryTableFieldId="4"/>
    <tableColumn id="5" xr3:uid="{F03CAD15-747D-48A9-A40F-7584E01770F8}" uniqueName="5" name="Internet_Access_Index" queryTableFieldId="5"/>
    <tableColumn id="6" xr3:uid="{65660078-04FD-4052-8C1A-497F885BE8B8}" uniqueName="6" name="Internet_Affordability_Index" queryTableFieldId="6"/>
    <tableColumn id="7" xr3:uid="{21D5479F-226C-453D-8623-7E20A035B5E2}" uniqueName="7" name="Internet_Quality_Index" queryTableFieldId="7"/>
    <tableColumn id="8" xr3:uid="{2BD1FB77-FDAA-411E-9EE9-370B8145382A}" uniqueName="8" name="Internet_All_Index" queryTableFieldId="8"/>
    <tableColumn id="9" xr3:uid="{81A8CD75-3A2C-4AA6-8E23-67C6D02F806D}" uniqueName="9" name="EGDI_Rank" queryTableFieldId="9"/>
    <tableColumn id="10" xr3:uid="{0887DCF8-5177-41C9-863D-C7B9B27C855A}" uniqueName="10" name="OSI_Value" queryTableFieldId="10"/>
    <tableColumn id="11" xr3:uid="{336BFCE7-A09E-4DED-B92E-89A2E32A44A3}" uniqueName="11" name="TII_Value" queryTableFieldId="11"/>
    <tableColumn id="12" xr3:uid="{7E9E56D4-97F0-4181-B20E-0A9A3A74194A}" uniqueName="12" name="HCI_Value" queryTableFieldId="12"/>
    <tableColumn id="13" xr3:uid="{C8BA51E7-B5E0-4A58-A962-643F1AA1AACA}" uniqueName="13" name="EPI_Value" queryTableFieldId="13"/>
    <tableColumn id="14" xr3:uid="{D2567EA2-1C92-4142-8148-D3F474745632}" uniqueName="14" name="EPI_Rank" queryTableFieldId="14"/>
    <tableColumn id="15" xr3:uid="{61AE66E2-6D9B-4085-AD01-4B391FA60EAD}" uniqueName="15" name="E_GOV_Index" queryTableFieldId="15"/>
    <tableColumn id="16" xr3:uid="{5D6EE119-95AE-48D1-8184-FA66295421A6}" uniqueName="16" name="Digital_Payments_Index" queryTableFieldId="16"/>
    <tableColumn id="17" xr3:uid="{E4410CE7-8FAD-4B54-AC43-6ED9D6DD0B4F}" uniqueName="17" name="FI_Access_Index" queryTableFieldId="17"/>
    <tableColumn id="18" xr3:uid="{50BC12CC-2F50-404D-BC0E-F7C9982E1BF6}" uniqueName="18" name="FI_Usage_Index" queryTableFieldId="18"/>
    <tableColumn id="19" xr3:uid="{75C69741-85E1-4D1B-8372-E09A79134251}" uniqueName="19" name="FI_All_Index" queryTableFieldId="19"/>
    <tableColumn id="20" xr3:uid="{12FCAADB-3432-4AA2-96BF-1AFD448FAC35}" uniqueName="20" name="Digital_Tranformation_Index" queryTableFieldId="2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43B048-86EE-424A-BB25-81BC1B558B0E}" name="Financial_Index_Data_Cleaned1" displayName="Financial_Index_Data_Cleaned1" ref="A1:G14" tableType="queryTable" totalsRowShown="0">
  <autoFilter ref="A1:G14" xr:uid="{0F43B048-86EE-424A-BB25-81BC1B558B0E}"/>
  <tableColumns count="7">
    <tableColumn id="1" xr3:uid="{2C2B154D-B323-4081-91F9-6486233C66CF}" uniqueName="1" name="Code_ID" queryTableFieldId="1" dataDxfId="14"/>
    <tableColumn id="2" xr3:uid="{D2C048F8-9A7A-46E5-96EC-C5C004648B09}" uniqueName="2" name="Country_Code" queryTableFieldId="2" dataDxfId="13"/>
    <tableColumn id="3" xr3:uid="{2FF805C8-1FBC-4F55-896E-240327ED1C73}" uniqueName="3" name="Country" queryTableFieldId="3" dataDxfId="12"/>
    <tableColumn id="4" xr3:uid="{9AB58E6A-A6B5-40A7-A6CA-20957AC7B676}" uniqueName="4" name="Year" queryTableFieldId="4"/>
    <tableColumn id="5" xr3:uid="{E192CC6E-94B1-4B49-8392-79CD069DCB7C}" uniqueName="5" name="Access_Index" queryTableFieldId="5"/>
    <tableColumn id="6" xr3:uid="{66A3E2C0-C2FC-45C1-BF33-7E5E3BDBBC10}" uniqueName="6" name="Usage_Index" queryTableFieldId="6"/>
    <tableColumn id="7" xr3:uid="{9E68EC80-04A3-4F0B-A0DF-3B7523B43DAD}" uniqueName="7" name="FI_Index" queryTableFieldId="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7C2405-3BBA-4D8A-B54F-E0FA7250DD03}" name="Digital_Payments_Index1" displayName="Digital_Payments_Index1" ref="A1:E17" tableType="queryTable" totalsRowShown="0">
  <autoFilter ref="A1:E17" xr:uid="{1F7C2405-3BBA-4D8A-B54F-E0FA7250DD03}"/>
  <tableColumns count="5">
    <tableColumn id="1" xr3:uid="{6BA99493-2589-4BB0-B642-1E1FEFEB69FA}" uniqueName="1" name="Code_ID" queryTableFieldId="1" dataDxfId="11"/>
    <tableColumn id="2" xr3:uid="{AFE7E6A4-4661-4268-A4F6-7D95A5BEE124}" uniqueName="2" name="Country_Code" queryTableFieldId="2" dataDxfId="10"/>
    <tableColumn id="3" xr3:uid="{F02BB6EA-2C81-4CBB-B41F-A7ECDA698C73}" uniqueName="3" name="Country" queryTableFieldId="3" dataDxfId="9"/>
    <tableColumn id="4" xr3:uid="{126C5EE3-B655-455A-AD14-C0E5D88514B4}" uniqueName="4" name="Year" queryTableFieldId="4"/>
    <tableColumn id="5" xr3:uid="{D110B921-1617-4CA5-9A76-22CB495A708C}" uniqueName="5" name="Digital_Payments_Index" queryTableField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948E91-5692-45E9-AB69-81140A499A46}" name="EGOV_Index_DATA_Cleaned1" displayName="EGOV_Index_DATA_Cleaned1" ref="A1:K26" tableType="queryTable" totalsRowShown="0">
  <autoFilter ref="A1:K26" xr:uid="{E7948E91-5692-45E9-AB69-81140A499A46}"/>
  <tableColumns count="11">
    <tableColumn id="1" xr3:uid="{6196FE0D-EC1E-4E6D-B7C7-93F1DC48881E}" uniqueName="1" name="Code_ID" queryTableFieldId="1" dataDxfId="8"/>
    <tableColumn id="2" xr3:uid="{838B1E25-DFCB-45E8-B1B6-1AF255E85BF5}" uniqueName="2" name="Country_Code" queryTableFieldId="2" dataDxfId="7"/>
    <tableColumn id="3" xr3:uid="{1CC0DA16-E1EE-4CE8-AC3A-0477A9C0CB1B}" uniqueName="3" name="Country" queryTableFieldId="3" dataDxfId="6"/>
    <tableColumn id="4" xr3:uid="{D66AAE5D-3911-4F6E-9A6D-12627272379B}" uniqueName="4" name="Year" queryTableFieldId="4"/>
    <tableColumn id="5" xr3:uid="{5E6335BD-597C-4BF6-85B1-2E653B96B8ED}" uniqueName="5" name="EGDI_Rank" queryTableFieldId="5"/>
    <tableColumn id="6" xr3:uid="{4322804B-6570-4767-87EA-CA83FF516977}" uniqueName="6" name="OSI_Value" queryTableFieldId="6"/>
    <tableColumn id="7" xr3:uid="{82AEDD0A-04D9-41CB-8E56-C50C38C4E234}" uniqueName="7" name="TII_Value" queryTableFieldId="7"/>
    <tableColumn id="8" xr3:uid="{19BB0009-C00B-4C4F-969F-79CB47BB3ABE}" uniqueName="8" name="HCI_Value" queryTableFieldId="8"/>
    <tableColumn id="9" xr3:uid="{59A8A812-8966-419B-8497-27A5DAA33AF3}" uniqueName="9" name="EPI_Value" queryTableFieldId="9"/>
    <tableColumn id="10" xr3:uid="{B383AEB7-7BCD-43AD-88C4-93FA24176C32}" uniqueName="10" name="EPI_Rank" queryTableFieldId="10"/>
    <tableColumn id="11" xr3:uid="{44CBAD6B-7CDD-4586-9A8C-3BDCFB82F0E2}" uniqueName="11" name="E_GOV_Index" queryTableFieldId="11"/>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E171C-0A68-465A-B041-B12929FDE6C9}" name="Internet_Index_Data_Cleaned1" displayName="Internet_Index_Data_Cleaned1" ref="A1:H51" tableType="queryTable" totalsRowShown="0">
  <autoFilter ref="A1:H51" xr:uid="{AD8E171C-0A68-465A-B041-B12929FDE6C9}"/>
  <tableColumns count="8">
    <tableColumn id="1" xr3:uid="{BBCB65EF-2392-4C85-A643-4F9643BB9C2B}" uniqueName="1" name="Code_ID" queryTableFieldId="1" dataDxfId="5"/>
    <tableColumn id="2" xr3:uid="{AD436E90-ECCD-4994-86F6-2EC4D4C9201E}" uniqueName="2" name="Country_Code" queryTableFieldId="2" dataDxfId="4"/>
    <tableColumn id="3" xr3:uid="{89F1BDD1-36CE-4A06-A667-60A9C20D68C1}" uniqueName="3" name="Country" queryTableFieldId="3" dataDxfId="3"/>
    <tableColumn id="4" xr3:uid="{8E7FAB87-9568-458B-9610-582FA3393DAC}" uniqueName="4" name="Year" queryTableFieldId="4"/>
    <tableColumn id="5" xr3:uid="{852BC901-6888-4F3C-9EB8-E4EA96CFFEFD}" uniqueName="5" name="Access_Index" queryTableFieldId="5"/>
    <tableColumn id="6" xr3:uid="{8CD1DCAE-DDE1-4E98-B2A2-9E138A37DD47}" uniqueName="6" name="Affordability_Index" queryTableFieldId="6"/>
    <tableColumn id="7" xr3:uid="{39C866EB-0174-4224-9E62-636F41CEE9A1}" uniqueName="7" name="Quality_Index" queryTableFieldId="7"/>
    <tableColumn id="8" xr3:uid="{6CC344E6-432C-4DC7-972E-6B32310F7D98}" uniqueName="8" name="Internet_Index"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5.xml"/><Relationship Id="rId5" Type="http://schemas.openxmlformats.org/officeDocument/2006/relationships/pivotTable" Target="../pivotTables/pivotTable5.xml"/><Relationship Id="rId10" Type="http://schemas.openxmlformats.org/officeDocument/2006/relationships/drawing" Target="../drawings/drawing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microsoft.com/office/2007/relationships/slicer" Target="../slicers/slicer6.xml"/><Relationship Id="rId5" Type="http://schemas.openxmlformats.org/officeDocument/2006/relationships/pivotTable" Target="../pivotTables/pivotTable13.xml"/><Relationship Id="rId10" Type="http://schemas.openxmlformats.org/officeDocument/2006/relationships/drawing" Target="../drawings/drawing6.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20.xml"/><Relationship Id="rId7" Type="http://schemas.openxmlformats.org/officeDocument/2006/relationships/drawing" Target="../drawings/drawing7.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rinterSettings" Target="../printerSettings/printerSettings3.bin"/><Relationship Id="rId11" Type="http://schemas.openxmlformats.org/officeDocument/2006/relationships/table" Target="../tables/table4.xml"/><Relationship Id="rId5" Type="http://schemas.openxmlformats.org/officeDocument/2006/relationships/pivotTable" Target="../pivotTables/pivotTable22.xml"/><Relationship Id="rId10" Type="http://schemas.openxmlformats.org/officeDocument/2006/relationships/table" Target="../tables/table3.xml"/><Relationship Id="rId4" Type="http://schemas.openxmlformats.org/officeDocument/2006/relationships/pivotTable" Target="../pivotTables/pivotTable21.xml"/><Relationship Id="rId9"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ivotTable" Target="../pivotTables/pivotTable25.xml"/><Relationship Id="rId7" Type="http://schemas.openxmlformats.org/officeDocument/2006/relationships/drawing" Target="../drawings/drawing8.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4" Type="http://schemas.openxmlformats.org/officeDocument/2006/relationships/pivotTable" Target="../pivotTables/pivotTable26.xml"/><Relationship Id="rId9" Type="http://schemas.microsoft.com/office/2007/relationships/slicer" Target="../slicers/slicer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B0AD2-0E21-4260-A65E-BEDD09482BC8}">
  <sheetPr>
    <tabColor rgb="FF08D9D6"/>
  </sheetPr>
  <dimension ref="B4:S20"/>
  <sheetViews>
    <sheetView showGridLines="0" workbookViewId="0">
      <selection activeCell="C24" sqref="C24"/>
    </sheetView>
  </sheetViews>
  <sheetFormatPr defaultRowHeight="14.4" x14ac:dyDescent="0.3"/>
  <cols>
    <col min="1" max="4" width="8.88671875" style="6"/>
    <col min="5" max="5" width="14.44140625" style="6" bestFit="1" customWidth="1"/>
    <col min="6" max="9" width="8.88671875" style="6"/>
    <col min="10" max="10" width="18.5546875" style="6" bestFit="1" customWidth="1"/>
    <col min="11" max="16384" width="8.88671875" style="6"/>
  </cols>
  <sheetData>
    <row r="4" spans="2:19" ht="15" x14ac:dyDescent="0.3">
      <c r="J4" s="7"/>
      <c r="K4" s="7"/>
    </row>
    <row r="5" spans="2:19" ht="18" customHeight="1" x14ac:dyDescent="0.3">
      <c r="C5" s="7"/>
      <c r="D5" s="7"/>
      <c r="E5" s="38" t="s">
        <v>113</v>
      </c>
      <c r="F5" s="38"/>
      <c r="G5" s="38"/>
      <c r="H5" s="7"/>
      <c r="I5" s="39" t="s">
        <v>133</v>
      </c>
      <c r="J5" s="39"/>
      <c r="K5" s="41" t="s">
        <v>131</v>
      </c>
      <c r="L5" s="41"/>
      <c r="M5" s="41"/>
      <c r="N5" s="41"/>
      <c r="O5" s="34" t="s">
        <v>132</v>
      </c>
      <c r="P5" s="34"/>
      <c r="Q5" s="34"/>
      <c r="R5" s="34"/>
      <c r="S5" s="11"/>
    </row>
    <row r="6" spans="2:19" ht="14.4" customHeight="1" x14ac:dyDescent="0.3">
      <c r="C6" s="13"/>
      <c r="D6" s="13"/>
      <c r="E6" s="13"/>
      <c r="F6" s="13">
        <f>IF(COUNTIF('Trend Analysis'!A91:A95,"*") &gt;1,0,'Trend Analysis'!L119)</f>
        <v>0</v>
      </c>
      <c r="G6" s="13"/>
      <c r="H6" s="13"/>
      <c r="I6" s="40">
        <f>IF(COUNTIF('Trend Analysis'!A91:A95,"*") &gt;1,0,'Trend Analysis'!D91)</f>
        <v>0</v>
      </c>
      <c r="J6" s="40"/>
      <c r="K6" s="18"/>
      <c r="L6" s="13">
        <f>IF(COUNTIF('Trend Analysis'!A91:A95,"*") &gt; 1,0,'Trend Analysis'!E91)</f>
        <v>0</v>
      </c>
      <c r="M6" s="13"/>
      <c r="N6" s="13"/>
      <c r="O6" s="35">
        <f>IF(COUNTIF('Trend Analysis'!A91:A95,"*") &gt;1,0,'Trend Analysis'!F91)</f>
        <v>0</v>
      </c>
      <c r="P6" s="35"/>
      <c r="Q6" s="35"/>
      <c r="R6" s="13"/>
      <c r="S6" s="13"/>
    </row>
    <row r="7" spans="2:19" ht="14.4" customHeight="1" x14ac:dyDescent="0.3">
      <c r="C7" s="7"/>
      <c r="D7" s="7"/>
      <c r="E7" s="7"/>
      <c r="F7" s="7"/>
    </row>
    <row r="8" spans="2:19" ht="14.4" customHeight="1" x14ac:dyDescent="0.3">
      <c r="B8" s="7"/>
      <c r="C8" s="7"/>
      <c r="D8" s="37"/>
      <c r="E8" s="37"/>
    </row>
    <row r="9" spans="2:19" ht="14.4" customHeight="1" x14ac:dyDescent="0.3">
      <c r="B9" s="7"/>
      <c r="C9" s="7"/>
      <c r="D9" s="7"/>
      <c r="E9" s="7"/>
    </row>
    <row r="10" spans="2:19" ht="14.4" customHeight="1" x14ac:dyDescent="0.3">
      <c r="B10" s="8"/>
      <c r="C10" s="36"/>
      <c r="D10" s="36"/>
    </row>
    <row r="12" spans="2:19" ht="15.6" customHeight="1" x14ac:dyDescent="0.3">
      <c r="C12" s="7"/>
      <c r="D12" s="7"/>
      <c r="E12" s="7"/>
    </row>
    <row r="13" spans="2:19" ht="17.399999999999999" customHeight="1" x14ac:dyDescent="0.3">
      <c r="B13" s="7"/>
      <c r="C13" s="7"/>
      <c r="D13" s="7"/>
      <c r="E13" s="7"/>
    </row>
    <row r="14" spans="2:19" ht="14.4" customHeight="1" x14ac:dyDescent="0.3">
      <c r="C14" s="7"/>
      <c r="D14" s="7"/>
    </row>
    <row r="15" spans="2:19" ht="14.4" customHeight="1" x14ac:dyDescent="0.3">
      <c r="C15" s="7"/>
      <c r="D15" s="7"/>
    </row>
    <row r="16" spans="2:19" ht="14.4" customHeight="1" x14ac:dyDescent="0.3">
      <c r="C16" s="7"/>
      <c r="D16" s="7"/>
    </row>
    <row r="17" spans="3:5" ht="14.4" customHeight="1" x14ac:dyDescent="0.3">
      <c r="C17" s="7"/>
      <c r="D17" s="7"/>
    </row>
    <row r="20" spans="3:5" x14ac:dyDescent="0.3">
      <c r="E20" s="9"/>
    </row>
  </sheetData>
  <mergeCells count="8">
    <mergeCell ref="O5:R5"/>
    <mergeCell ref="O6:Q6"/>
    <mergeCell ref="C10:D10"/>
    <mergeCell ref="D8:E8"/>
    <mergeCell ref="E5:G5"/>
    <mergeCell ref="I5:J5"/>
    <mergeCell ref="I6:J6"/>
    <mergeCell ref="K5:N5"/>
  </mergeCells>
  <pageMargins left="0.7" right="0.7" top="0.75" bottom="0.75" header="0.3" footer="0.3"/>
  <pageSetup orientation="portrait" horizontalDpi="4294967294" verticalDpi="4294967294"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3CFB3-7776-4BDE-AA93-7B9CD8C6A07E}">
  <sheetPr>
    <tabColor rgb="FFFF2E63"/>
  </sheetPr>
  <dimension ref="D3:T7"/>
  <sheetViews>
    <sheetView showGridLines="0" topLeftCell="A2" workbookViewId="0">
      <selection activeCell="B22" sqref="B22"/>
    </sheetView>
  </sheetViews>
  <sheetFormatPr defaultRowHeight="14.4" x14ac:dyDescent="0.3"/>
  <cols>
    <col min="1" max="16384" width="8.88671875" style="6"/>
  </cols>
  <sheetData>
    <row r="3" spans="4:20" x14ac:dyDescent="0.3">
      <c r="R3" s="10"/>
    </row>
    <row r="4" spans="4:20" x14ac:dyDescent="0.3">
      <c r="D4" s="29"/>
      <c r="E4" s="29"/>
      <c r="F4" s="29"/>
    </row>
    <row r="5" spans="4:20" ht="15.6" x14ac:dyDescent="0.3">
      <c r="D5" s="11"/>
      <c r="E5" s="11"/>
      <c r="F5" s="43" t="s">
        <v>115</v>
      </c>
      <c r="G5" s="43"/>
      <c r="H5" s="43"/>
      <c r="I5" s="43"/>
      <c r="J5" s="45" t="s">
        <v>145</v>
      </c>
      <c r="K5" s="45"/>
      <c r="L5" s="45"/>
      <c r="M5" s="45"/>
      <c r="N5" s="42" t="s">
        <v>146</v>
      </c>
      <c r="O5" s="42"/>
      <c r="P5" s="42"/>
      <c r="Q5" s="11"/>
      <c r="R5" s="11"/>
      <c r="S5" s="11"/>
      <c r="T5" s="11"/>
    </row>
    <row r="6" spans="4:20" ht="17.399999999999999" x14ac:dyDescent="0.3">
      <c r="E6" s="13"/>
      <c r="F6" s="13"/>
      <c r="G6" s="44">
        <f>IF(COUNTIF('DT Components Analysis'!A87:A91,"*") &gt;1,0,'DT Components Analysis'!B87)</f>
        <v>0</v>
      </c>
      <c r="H6" s="44"/>
      <c r="I6" s="14"/>
      <c r="J6" s="44">
        <f>IF(COUNTIF('DT Components Analysis'!A95:A99,"*") &gt;1,0,'DT Components Analysis'!B95)</f>
        <v>0</v>
      </c>
      <c r="K6" s="44"/>
      <c r="L6" s="44"/>
      <c r="M6" s="13"/>
      <c r="N6" s="35">
        <f>IF(COUNTIF('DT Components Analysis'!A103:A107,"*") &gt;1,0,'DT Components Analysis'!B103)</f>
        <v>0</v>
      </c>
      <c r="O6" s="35"/>
      <c r="P6" s="35"/>
      <c r="R6" s="12"/>
    </row>
    <row r="7" spans="4:20" x14ac:dyDescent="0.3">
      <c r="I7" s="10"/>
    </row>
  </sheetData>
  <mergeCells count="7">
    <mergeCell ref="N5:P5"/>
    <mergeCell ref="N6:P6"/>
    <mergeCell ref="D4:F4"/>
    <mergeCell ref="F5:I5"/>
    <mergeCell ref="G6:H6"/>
    <mergeCell ref="J5:M5"/>
    <mergeCell ref="J6: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2783B-70A1-4ACB-A184-EE495F8FBF29}">
  <sheetPr>
    <tabColor rgb="FF0070C0"/>
  </sheetPr>
  <dimension ref="C3:V7"/>
  <sheetViews>
    <sheetView showGridLines="0" workbookViewId="0">
      <selection activeCell="B6" sqref="B6"/>
    </sheetView>
  </sheetViews>
  <sheetFormatPr defaultRowHeight="14.4" x14ac:dyDescent="0.3"/>
  <cols>
    <col min="1" max="4" width="8.88671875" style="15"/>
    <col min="5" max="5" width="11" style="15" bestFit="1" customWidth="1"/>
    <col min="6" max="16384" width="8.88671875" style="15"/>
  </cols>
  <sheetData>
    <row r="3" spans="3:22" x14ac:dyDescent="0.3">
      <c r="V3" s="25"/>
    </row>
    <row r="5" spans="3:22" ht="15.6" x14ac:dyDescent="0.3">
      <c r="C5" s="48" t="s">
        <v>114</v>
      </c>
      <c r="D5" s="48"/>
      <c r="E5" s="48"/>
      <c r="F5" s="48"/>
      <c r="G5" s="47" t="s">
        <v>118</v>
      </c>
      <c r="H5" s="47"/>
      <c r="I5" s="47"/>
      <c r="J5" s="47"/>
      <c r="K5" s="51" t="s">
        <v>134</v>
      </c>
      <c r="L5" s="51"/>
      <c r="M5" s="51"/>
      <c r="N5" s="51"/>
      <c r="O5" s="19" t="s">
        <v>136</v>
      </c>
      <c r="P5" s="19"/>
      <c r="Q5" s="19"/>
      <c r="R5" s="16" t="s">
        <v>140</v>
      </c>
      <c r="S5" s="16"/>
      <c r="T5" s="16"/>
      <c r="U5" s="21"/>
    </row>
    <row r="6" spans="3:22" ht="18" x14ac:dyDescent="0.35">
      <c r="D6" s="49">
        <f>IF(COUNTIF('Impact Analysis'!B77:B81,"*") &gt;1,0,'Impact Analysis'!C77)</f>
        <v>0</v>
      </c>
      <c r="E6" s="49"/>
      <c r="F6" s="49"/>
      <c r="G6" s="50">
        <f>IF(COUNTIF('Impact Analysis'!B77:B81,"*") &gt;1,0,'Impact Analysis'!D77)</f>
        <v>0</v>
      </c>
      <c r="H6" s="50"/>
      <c r="I6" s="50"/>
      <c r="J6" s="17"/>
      <c r="K6" s="52">
        <f>IF(COUNTIF('Impact Analysis'!B88:B92,"*") &gt;1,0,'Impact Analysis'!M88)</f>
        <v>0</v>
      </c>
      <c r="L6" s="52"/>
      <c r="M6" s="52"/>
      <c r="N6" s="17"/>
      <c r="O6" s="46">
        <f>IF(COUNTIF('Impact Analysis'!B98:B102,"*") &gt;1,0,'Impact Analysis'!M98)</f>
        <v>0</v>
      </c>
      <c r="P6" s="46"/>
      <c r="Q6" s="46"/>
      <c r="S6" s="22" t="s">
        <v>139</v>
      </c>
      <c r="T6" s="22"/>
      <c r="U6" s="22"/>
    </row>
    <row r="7" spans="3:22" x14ac:dyDescent="0.3">
      <c r="S7" s="20"/>
      <c r="T7" s="20"/>
    </row>
  </sheetData>
  <mergeCells count="7">
    <mergeCell ref="O6:Q6"/>
    <mergeCell ref="G5:J5"/>
    <mergeCell ref="C5:F5"/>
    <mergeCell ref="D6:F6"/>
    <mergeCell ref="G6:I6"/>
    <mergeCell ref="K5:N5"/>
    <mergeCell ref="K6: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FD1DC-6378-4D19-8EB5-F5B8C8749FAE}">
  <sheetPr>
    <tabColor rgb="FF00B050"/>
  </sheetPr>
  <dimension ref="C5:S6"/>
  <sheetViews>
    <sheetView showGridLines="0" workbookViewId="0">
      <selection activeCell="E22" sqref="E22"/>
    </sheetView>
  </sheetViews>
  <sheetFormatPr defaultRowHeight="14.4" x14ac:dyDescent="0.3"/>
  <cols>
    <col min="1" max="14" width="8.88671875" style="6"/>
    <col min="15" max="15" width="11.109375" style="6" bestFit="1" customWidth="1"/>
    <col min="16" max="17" width="8.88671875" style="6"/>
    <col min="18" max="18" width="11.109375" style="6" bestFit="1" customWidth="1"/>
    <col min="19" max="16384" width="8.88671875" style="6"/>
  </cols>
  <sheetData>
    <row r="5" spans="3:19" ht="15.6" x14ac:dyDescent="0.3">
      <c r="C5" s="28" t="s">
        <v>156</v>
      </c>
      <c r="D5" s="28"/>
      <c r="E5" s="28"/>
      <c r="F5" s="28"/>
      <c r="G5" s="28" t="s">
        <v>159</v>
      </c>
      <c r="H5" s="29"/>
      <c r="I5" s="29"/>
      <c r="J5" s="29"/>
      <c r="K5" s="28" t="s">
        <v>157</v>
      </c>
      <c r="L5" s="29"/>
      <c r="M5" s="29"/>
      <c r="N5" s="28" t="s">
        <v>158</v>
      </c>
      <c r="O5" s="29"/>
      <c r="P5" s="29"/>
      <c r="Q5" s="30" t="s">
        <v>160</v>
      </c>
      <c r="R5" s="31"/>
      <c r="S5" s="31"/>
    </row>
    <row r="6" spans="3:19" ht="17.399999999999999" x14ac:dyDescent="0.3">
      <c r="D6" s="32">
        <f>IF(COUNTIF('Growth Analysis'!A79:A83,"*") &gt;1,0,'Growth Analysis'!B79)</f>
        <v>0</v>
      </c>
      <c r="E6" s="32"/>
      <c r="H6" s="32">
        <f>IF(COUNTIF('Growth Analysis'!A79:A83,"*") &gt;1,0,'Growth Analysis'!C79)</f>
        <v>0</v>
      </c>
      <c r="I6" s="32"/>
      <c r="K6" s="33">
        <f>IF(COUNTIF('Growth Analysis'!A79:A83,"*") &gt;1,0,'Growth Analysis'!D79)</f>
        <v>0</v>
      </c>
      <c r="L6" s="33"/>
      <c r="M6" s="33"/>
      <c r="O6" s="26">
        <f>IF(COUNTIF('Growth Analysis'!A79:A83,"*") &gt;1,0,'Growth Analysis'!E79)</f>
        <v>0</v>
      </c>
      <c r="Q6" s="33">
        <f>IF(COUNTIF('Growth Analysis'!A79:A83,"*") &gt;1,0,'Growth Analysis'!F79)</f>
        <v>0</v>
      </c>
      <c r="R6" s="33"/>
      <c r="S6" s="33"/>
    </row>
  </sheetData>
  <mergeCells count="9">
    <mergeCell ref="N5:P5"/>
    <mergeCell ref="Q5:S5"/>
    <mergeCell ref="C5:F5"/>
    <mergeCell ref="D6:E6"/>
    <mergeCell ref="G5:J5"/>
    <mergeCell ref="H6:I6"/>
    <mergeCell ref="K5:M5"/>
    <mergeCell ref="K6:M6"/>
    <mergeCell ref="Q6: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90718-4BC8-4499-830F-B0FBC55A7CEB}">
  <sheetPr>
    <tabColor rgb="FF08D9D6"/>
  </sheetPr>
  <dimension ref="A1:R138"/>
  <sheetViews>
    <sheetView topLeftCell="A59" workbookViewId="0">
      <selection activeCell="E71" sqref="E71"/>
    </sheetView>
  </sheetViews>
  <sheetFormatPr defaultRowHeight="14.4" x14ac:dyDescent="0.3"/>
  <cols>
    <col min="1" max="1" width="12.5546875" bestFit="1" customWidth="1"/>
    <col min="2" max="2" width="36.109375" bestFit="1" customWidth="1"/>
    <col min="3" max="3" width="21" bestFit="1" customWidth="1"/>
    <col min="4" max="4" width="22.33203125" bestFit="1" customWidth="1"/>
    <col min="5" max="5" width="26.5546875" bestFit="1" customWidth="1"/>
    <col min="6" max="6" width="31.33203125" bestFit="1" customWidth="1"/>
    <col min="7" max="15" width="12" bestFit="1" customWidth="1"/>
    <col min="16" max="16" width="26.5546875" bestFit="1" customWidth="1"/>
    <col min="17" max="20" width="12" bestFit="1" customWidth="1"/>
    <col min="21" max="21" width="31.33203125" bestFit="1" customWidth="1"/>
    <col min="22" max="22" width="11" bestFit="1" customWidth="1"/>
    <col min="23" max="41" width="12" bestFit="1" customWidth="1"/>
    <col min="42" max="42" width="11" bestFit="1" customWidth="1"/>
    <col min="43" max="60" width="12" bestFit="1" customWidth="1"/>
    <col min="61" max="65" width="21" bestFit="1" customWidth="1"/>
    <col min="66" max="66" width="9.6640625" bestFit="1" customWidth="1"/>
    <col min="67" max="71" width="7" bestFit="1" customWidth="1"/>
    <col min="72" max="72" width="9.6640625" bestFit="1" customWidth="1"/>
    <col min="73" max="78" width="12" bestFit="1" customWidth="1"/>
    <col min="79" max="83" width="7" bestFit="1" customWidth="1"/>
    <col min="84" max="84" width="9.6640625" bestFit="1" customWidth="1"/>
    <col min="85" max="89" width="7" bestFit="1" customWidth="1"/>
    <col min="90" max="90" width="9.6640625" bestFit="1" customWidth="1"/>
    <col min="91" max="95" width="7" bestFit="1" customWidth="1"/>
    <col min="96" max="96" width="9.6640625" bestFit="1" customWidth="1"/>
    <col min="97" max="101" width="12" bestFit="1" customWidth="1"/>
    <col min="102" max="102" width="11" bestFit="1" customWidth="1"/>
    <col min="103" max="107" width="7" bestFit="1" customWidth="1"/>
    <col min="108" max="108" width="9.6640625" bestFit="1" customWidth="1"/>
    <col min="109" max="113" width="7" bestFit="1" customWidth="1"/>
    <col min="114" max="114" width="9.6640625" bestFit="1" customWidth="1"/>
    <col min="115" max="120" width="12" bestFit="1" customWidth="1"/>
    <col min="121" max="125" width="22.33203125" bestFit="1" customWidth="1"/>
    <col min="126" max="126" width="9.6640625" bestFit="1" customWidth="1"/>
    <col min="127" max="132" width="12" bestFit="1" customWidth="1"/>
    <col min="133" max="137" width="7" bestFit="1" customWidth="1"/>
    <col min="138" max="138" width="9.6640625" bestFit="1" customWidth="1"/>
    <col min="139" max="143" width="12" bestFit="1" customWidth="1"/>
    <col min="144" max="144" width="9.6640625" bestFit="1" customWidth="1"/>
    <col min="145" max="149" width="7" bestFit="1" customWidth="1"/>
    <col min="150" max="150" width="9.6640625" bestFit="1" customWidth="1"/>
    <col min="151" max="156" width="12" bestFit="1" customWidth="1"/>
    <col min="157" max="161" width="7" bestFit="1" customWidth="1"/>
    <col min="162" max="162" width="9.6640625" bestFit="1" customWidth="1"/>
    <col min="163" max="167" width="12" bestFit="1" customWidth="1"/>
    <col min="168" max="168" width="9.6640625" bestFit="1" customWidth="1"/>
    <col min="169" max="173" width="7" bestFit="1" customWidth="1"/>
    <col min="174" max="174" width="9.6640625" bestFit="1" customWidth="1"/>
    <col min="175" max="179" width="12" bestFit="1" customWidth="1"/>
    <col min="180" max="180" width="9.6640625" bestFit="1" customWidth="1"/>
    <col min="181" max="185" width="26.5546875" bestFit="1" customWidth="1"/>
    <col min="186" max="186" width="10" bestFit="1" customWidth="1"/>
    <col min="187" max="240" width="12" bestFit="1" customWidth="1"/>
    <col min="241" max="245" width="31.33203125" bestFit="1" customWidth="1"/>
    <col min="246" max="246" width="9.6640625" bestFit="1" customWidth="1"/>
    <col min="247" max="251" width="7" bestFit="1" customWidth="1"/>
    <col min="252" max="252" width="9.6640625" bestFit="1" customWidth="1"/>
    <col min="253" max="258" width="12" bestFit="1" customWidth="1"/>
    <col min="259" max="263" width="7" bestFit="1" customWidth="1"/>
    <col min="264" max="264" width="9.6640625" bestFit="1" customWidth="1"/>
    <col min="265" max="269" width="7" bestFit="1" customWidth="1"/>
    <col min="270" max="270" width="9.6640625" bestFit="1" customWidth="1"/>
    <col min="271" max="275" width="7" bestFit="1" customWidth="1"/>
    <col min="276" max="276" width="9.6640625" bestFit="1" customWidth="1"/>
    <col min="277" max="282" width="12" bestFit="1" customWidth="1"/>
    <col min="283" max="287" width="7" bestFit="1" customWidth="1"/>
    <col min="288" max="288" width="9.6640625" bestFit="1" customWidth="1"/>
    <col min="289" max="293" width="7" bestFit="1" customWidth="1"/>
    <col min="294" max="294" width="9.6640625" bestFit="1" customWidth="1"/>
    <col min="295" max="300" width="12" bestFit="1" customWidth="1"/>
  </cols>
  <sheetData>
    <row r="1" spans="1:10" x14ac:dyDescent="0.3">
      <c r="A1" s="56" t="s">
        <v>92</v>
      </c>
    </row>
    <row r="2" spans="1:10" x14ac:dyDescent="0.3">
      <c r="A2" s="56"/>
      <c r="B2" t="s">
        <v>93</v>
      </c>
    </row>
    <row r="3" spans="1:10" ht="15.6" x14ac:dyDescent="0.3">
      <c r="A3" s="56"/>
      <c r="B3" s="4"/>
      <c r="C3" s="4"/>
      <c r="D3" s="4"/>
      <c r="E3" s="4"/>
      <c r="F3" s="4"/>
      <c r="G3" s="4"/>
      <c r="H3" s="4"/>
      <c r="I3" s="4"/>
      <c r="J3" s="4"/>
    </row>
    <row r="4" spans="1:10" x14ac:dyDescent="0.3">
      <c r="A4" s="56"/>
    </row>
    <row r="6" spans="1:10" ht="15.6" x14ac:dyDescent="0.3">
      <c r="A6" s="55" t="s">
        <v>119</v>
      </c>
      <c r="B6" s="55"/>
      <c r="C6" s="55"/>
      <c r="D6" s="55"/>
      <c r="E6" s="55"/>
      <c r="F6" s="55"/>
      <c r="G6" s="55"/>
      <c r="H6" s="55"/>
      <c r="I6" s="55"/>
      <c r="J6" s="55"/>
    </row>
    <row r="10" spans="1:10" x14ac:dyDescent="0.3">
      <c r="A10" s="2" t="s">
        <v>91</v>
      </c>
      <c r="B10" s="2" t="s">
        <v>87</v>
      </c>
    </row>
    <row r="11" spans="1:10" x14ac:dyDescent="0.3">
      <c r="A11" s="2" t="s">
        <v>86</v>
      </c>
      <c r="B11" t="s">
        <v>10</v>
      </c>
      <c r="C11" t="s">
        <v>27</v>
      </c>
      <c r="D11" t="s">
        <v>13</v>
      </c>
      <c r="E11" t="s">
        <v>58</v>
      </c>
      <c r="F11" t="s">
        <v>39</v>
      </c>
    </row>
    <row r="12" spans="1:10" x14ac:dyDescent="0.3">
      <c r="A12" s="3">
        <v>2015</v>
      </c>
    </row>
    <row r="13" spans="1:10" x14ac:dyDescent="0.3">
      <c r="A13" s="3">
        <v>2016</v>
      </c>
      <c r="B13">
        <v>0.45940999999999993</v>
      </c>
      <c r="C13">
        <v>0.46374999999999994</v>
      </c>
      <c r="D13">
        <v>0.68223666666666671</v>
      </c>
      <c r="E13">
        <v>0.75152999999999992</v>
      </c>
      <c r="F13">
        <v>0.91927999999999999</v>
      </c>
    </row>
    <row r="14" spans="1:10" x14ac:dyDescent="0.3">
      <c r="A14" s="3">
        <v>2017</v>
      </c>
    </row>
    <row r="15" spans="1:10" x14ac:dyDescent="0.3">
      <c r="A15" s="3">
        <v>2018</v>
      </c>
      <c r="B15">
        <v>0.48803333333333332</v>
      </c>
      <c r="C15">
        <v>0.56690000000000007</v>
      </c>
      <c r="D15">
        <v>0.71189999999999998</v>
      </c>
      <c r="E15">
        <v>0.82950000000000002</v>
      </c>
      <c r="F15">
        <v>0.89986666666666659</v>
      </c>
    </row>
    <row r="16" spans="1:10" x14ac:dyDescent="0.3">
      <c r="A16" s="3">
        <v>2019</v>
      </c>
    </row>
    <row r="17" spans="1:6" x14ac:dyDescent="0.3">
      <c r="A17" s="3">
        <v>2020</v>
      </c>
      <c r="B17">
        <v>0.55269999999999997</v>
      </c>
      <c r="C17">
        <v>0.59639999999999993</v>
      </c>
      <c r="D17">
        <v>0.79906666666666659</v>
      </c>
      <c r="E17">
        <v>0.8554666666666666</v>
      </c>
      <c r="F17">
        <v>0.93583333333333341</v>
      </c>
    </row>
    <row r="18" spans="1:6" x14ac:dyDescent="0.3">
      <c r="A18" s="3">
        <v>2021</v>
      </c>
    </row>
    <row r="19" spans="1:6" x14ac:dyDescent="0.3">
      <c r="A19" s="3">
        <v>2022</v>
      </c>
      <c r="B19">
        <v>0.58946666666666669</v>
      </c>
      <c r="C19">
        <v>0.58829999999999993</v>
      </c>
      <c r="D19">
        <v>0.85389999999999999</v>
      </c>
      <c r="E19">
        <v>0.90103333333333335</v>
      </c>
      <c r="F19">
        <v>0.91380000000000006</v>
      </c>
    </row>
    <row r="20" spans="1:6" x14ac:dyDescent="0.3">
      <c r="A20" s="3">
        <v>2023</v>
      </c>
    </row>
    <row r="21" spans="1:6" x14ac:dyDescent="0.3">
      <c r="A21" s="3">
        <v>2024</v>
      </c>
      <c r="B21">
        <v>0.6699166666666666</v>
      </c>
      <c r="C21">
        <v>0.66777666666666669</v>
      </c>
      <c r="D21">
        <v>0.96024000000000009</v>
      </c>
      <c r="E21">
        <v>0.95327333333333331</v>
      </c>
      <c r="F21">
        <v>0.95771333333333342</v>
      </c>
    </row>
    <row r="27" spans="1:6" x14ac:dyDescent="0.3">
      <c r="A27" s="57" t="s">
        <v>120</v>
      </c>
      <c r="B27" s="57"/>
      <c r="C27" s="57"/>
      <c r="D27" s="57"/>
      <c r="E27" s="57"/>
    </row>
    <row r="29" spans="1:6" x14ac:dyDescent="0.3">
      <c r="A29" s="2" t="s">
        <v>89</v>
      </c>
      <c r="B29" s="2" t="s">
        <v>87</v>
      </c>
    </row>
    <row r="30" spans="1:6" x14ac:dyDescent="0.3">
      <c r="A30" s="2" t="s">
        <v>86</v>
      </c>
      <c r="B30" t="s">
        <v>10</v>
      </c>
      <c r="C30" t="s">
        <v>27</v>
      </c>
      <c r="D30" t="s">
        <v>13</v>
      </c>
      <c r="E30" t="s">
        <v>58</v>
      </c>
      <c r="F30" t="s">
        <v>39</v>
      </c>
    </row>
    <row r="31" spans="1:6" x14ac:dyDescent="0.3">
      <c r="A31" s="3">
        <v>2015</v>
      </c>
      <c r="B31">
        <v>0.39615535655501877</v>
      </c>
      <c r="C31">
        <v>7.1035103721290654E-2</v>
      </c>
      <c r="D31">
        <v>0.61190944674947856</v>
      </c>
      <c r="E31">
        <v>0.67705505452777937</v>
      </c>
      <c r="F31">
        <v>0.83328053612667397</v>
      </c>
    </row>
    <row r="32" spans="1:6" x14ac:dyDescent="0.3">
      <c r="A32" s="3">
        <v>2016</v>
      </c>
      <c r="B32">
        <v>0.47174172603804787</v>
      </c>
      <c r="C32">
        <v>7.7897118660340922E-2</v>
      </c>
      <c r="D32">
        <v>0.65753361589895998</v>
      </c>
      <c r="E32">
        <v>0.70530673184697135</v>
      </c>
      <c r="F32">
        <v>0.84992643116647115</v>
      </c>
    </row>
    <row r="33" spans="1:6" x14ac:dyDescent="0.3">
      <c r="A33" s="3">
        <v>2017</v>
      </c>
      <c r="B33">
        <v>0.53624185486315334</v>
      </c>
      <c r="C33">
        <v>5.2823426366916469E-2</v>
      </c>
      <c r="D33">
        <v>0.66175924462062174</v>
      </c>
      <c r="E33">
        <v>0.78010320862476923</v>
      </c>
      <c r="F33">
        <v>0.80547826049508897</v>
      </c>
    </row>
    <row r="34" spans="1:6" x14ac:dyDescent="0.3">
      <c r="A34" s="3">
        <v>2018</v>
      </c>
      <c r="B34">
        <v>0.42333060520496224</v>
      </c>
      <c r="C34">
        <v>0.34930448549877452</v>
      </c>
      <c r="D34">
        <v>0.70653108563382361</v>
      </c>
      <c r="E34">
        <v>0.79304168243860329</v>
      </c>
      <c r="F34">
        <v>0.80291156167036537</v>
      </c>
    </row>
    <row r="35" spans="1:6" x14ac:dyDescent="0.3">
      <c r="A35" s="3">
        <v>2019</v>
      </c>
      <c r="B35">
        <v>0.30304255632585003</v>
      </c>
      <c r="C35">
        <v>0.26480192894037091</v>
      </c>
      <c r="D35">
        <v>0.50821065820494249</v>
      </c>
      <c r="E35">
        <v>0.59675259273086712</v>
      </c>
      <c r="F35">
        <v>0.57618978344839666</v>
      </c>
    </row>
    <row r="36" spans="1:6" x14ac:dyDescent="0.3">
      <c r="A36" s="3">
        <v>2020</v>
      </c>
      <c r="B36">
        <v>0.3288000967112189</v>
      </c>
      <c r="C36">
        <v>0.25976404611880771</v>
      </c>
      <c r="D36">
        <v>0.53791687374589381</v>
      </c>
      <c r="E36">
        <v>0.73536569421315634</v>
      </c>
      <c r="F36">
        <v>0.57077824848390835</v>
      </c>
    </row>
    <row r="37" spans="1:6" x14ac:dyDescent="0.3">
      <c r="A37" s="3">
        <v>2021</v>
      </c>
      <c r="B37">
        <v>0.34016809014661648</v>
      </c>
      <c r="C37">
        <v>0.30331355313585251</v>
      </c>
      <c r="D37">
        <v>0.55881088042802274</v>
      </c>
      <c r="E37">
        <v>0.85655199225670942</v>
      </c>
      <c r="F37">
        <v>0.64291908232424677</v>
      </c>
    </row>
    <row r="38" spans="1:6" x14ac:dyDescent="0.3">
      <c r="A38" s="3">
        <v>2022</v>
      </c>
      <c r="B38">
        <v>0.35560602035979932</v>
      </c>
      <c r="C38">
        <v>0.33933877582069583</v>
      </c>
      <c r="D38">
        <v>0.56067210608207829</v>
      </c>
      <c r="E38">
        <v>0.81785874388928304</v>
      </c>
      <c r="F38">
        <v>0.67430668369218993</v>
      </c>
    </row>
    <row r="39" spans="1:6" x14ac:dyDescent="0.3">
      <c r="A39" s="3">
        <v>2023</v>
      </c>
      <c r="B39">
        <v>0.38245536704512506</v>
      </c>
      <c r="C39">
        <v>0.41050433597543207</v>
      </c>
      <c r="D39">
        <v>0.6474793460564412</v>
      </c>
      <c r="E39">
        <v>0.89159615921585211</v>
      </c>
      <c r="F39">
        <v>0.70395887434193438</v>
      </c>
    </row>
    <row r="40" spans="1:6" x14ac:dyDescent="0.3">
      <c r="A40" s="3">
        <v>2024</v>
      </c>
      <c r="B40">
        <v>0.39942628696977533</v>
      </c>
      <c r="C40">
        <v>0.43199623104103729</v>
      </c>
      <c r="D40">
        <v>0.75154041525951532</v>
      </c>
      <c r="E40">
        <v>0.95780394419774162</v>
      </c>
      <c r="F40">
        <v>0.73587031164722849</v>
      </c>
    </row>
    <row r="45" spans="1:6" x14ac:dyDescent="0.3">
      <c r="A45" s="57" t="s">
        <v>121</v>
      </c>
      <c r="B45" s="57"/>
      <c r="C45" s="57"/>
      <c r="D45" s="57"/>
      <c r="E45" s="57"/>
    </row>
    <row r="47" spans="1:6" x14ac:dyDescent="0.3">
      <c r="A47" s="2" t="s">
        <v>90</v>
      </c>
      <c r="B47" s="2" t="s">
        <v>87</v>
      </c>
    </row>
    <row r="48" spans="1:6" x14ac:dyDescent="0.3">
      <c r="A48" s="2" t="s">
        <v>86</v>
      </c>
      <c r="B48" t="s">
        <v>10</v>
      </c>
      <c r="C48" t="s">
        <v>27</v>
      </c>
      <c r="D48" t="s">
        <v>13</v>
      </c>
      <c r="E48" t="s">
        <v>58</v>
      </c>
      <c r="F48" t="s">
        <v>39</v>
      </c>
    </row>
    <row r="49" spans="1:6" x14ac:dyDescent="0.3">
      <c r="A49" s="3">
        <v>2015</v>
      </c>
    </row>
    <row r="50" spans="1:6" x14ac:dyDescent="0.3">
      <c r="A50" s="3">
        <v>2016</v>
      </c>
    </row>
    <row r="51" spans="1:6" x14ac:dyDescent="0.3">
      <c r="A51" s="3">
        <v>2017</v>
      </c>
      <c r="B51">
        <v>1.6683175337813053E-2</v>
      </c>
      <c r="C51">
        <v>3.9786186144369205E-2</v>
      </c>
      <c r="D51">
        <v>0.41498030331004354</v>
      </c>
      <c r="E51">
        <v>0.67466197065130418</v>
      </c>
      <c r="F51">
        <v>0.65162195007282275</v>
      </c>
    </row>
    <row r="52" spans="1:6" x14ac:dyDescent="0.3">
      <c r="A52" s="3">
        <v>2018</v>
      </c>
    </row>
    <row r="53" spans="1:6" x14ac:dyDescent="0.3">
      <c r="A53" s="3">
        <v>2019</v>
      </c>
    </row>
    <row r="54" spans="1:6" x14ac:dyDescent="0.3">
      <c r="A54" s="3">
        <v>2020</v>
      </c>
    </row>
    <row r="55" spans="1:6" x14ac:dyDescent="0.3">
      <c r="A55" s="3">
        <v>2021</v>
      </c>
      <c r="B55">
        <v>1.6183336258612589E-2</v>
      </c>
      <c r="C55">
        <v>0.17220947435042966</v>
      </c>
      <c r="D55">
        <v>0.75041190041764538</v>
      </c>
      <c r="E55">
        <v>0.45407506976999107</v>
      </c>
      <c r="F55">
        <v>0.61909371686719228</v>
      </c>
    </row>
    <row r="56" spans="1:6" x14ac:dyDescent="0.3">
      <c r="A56" s="3">
        <v>2022</v>
      </c>
    </row>
    <row r="57" spans="1:6" x14ac:dyDescent="0.3">
      <c r="A57" s="3">
        <v>2023</v>
      </c>
    </row>
    <row r="58" spans="1:6" x14ac:dyDescent="0.3">
      <c r="A58" s="3">
        <v>2024</v>
      </c>
      <c r="B58">
        <v>0.30114029023832745</v>
      </c>
      <c r="C58">
        <v>0.48589012585927788</v>
      </c>
      <c r="D58">
        <v>0.85156351097590477</v>
      </c>
    </row>
    <row r="66" spans="1:6" x14ac:dyDescent="0.3">
      <c r="B66" s="57" t="s">
        <v>122</v>
      </c>
      <c r="C66" s="57"/>
      <c r="D66" s="57"/>
      <c r="E66" s="57"/>
      <c r="F66" s="57"/>
    </row>
    <row r="68" spans="1:6" x14ac:dyDescent="0.3">
      <c r="A68" s="2" t="s">
        <v>96</v>
      </c>
      <c r="B68" s="2" t="s">
        <v>87</v>
      </c>
    </row>
    <row r="69" spans="1:6" x14ac:dyDescent="0.3">
      <c r="A69" s="2" t="s">
        <v>86</v>
      </c>
      <c r="B69" t="s">
        <v>10</v>
      </c>
      <c r="C69" t="s">
        <v>27</v>
      </c>
      <c r="D69" t="s">
        <v>13</v>
      </c>
      <c r="E69" t="s">
        <v>58</v>
      </c>
      <c r="F69" t="s">
        <v>39</v>
      </c>
    </row>
    <row r="70" spans="1:6" x14ac:dyDescent="0.3">
      <c r="A70" s="3">
        <v>2015</v>
      </c>
    </row>
    <row r="71" spans="1:6" x14ac:dyDescent="0.3">
      <c r="A71" s="3">
        <v>2016</v>
      </c>
    </row>
    <row r="72" spans="1:6" x14ac:dyDescent="0.3">
      <c r="A72" s="3">
        <v>2017</v>
      </c>
      <c r="B72">
        <v>5.4432523000447652E-2</v>
      </c>
      <c r="C72">
        <v>0.43294951917008317</v>
      </c>
      <c r="D72">
        <v>0.41077560303477711</v>
      </c>
      <c r="E72">
        <v>0.69352778827828487</v>
      </c>
      <c r="F72">
        <v>0.97651417755760028</v>
      </c>
    </row>
    <row r="73" spans="1:6" x14ac:dyDescent="0.3">
      <c r="A73" s="3">
        <v>2018</v>
      </c>
    </row>
    <row r="74" spans="1:6" x14ac:dyDescent="0.3">
      <c r="A74" s="3">
        <v>2019</v>
      </c>
    </row>
    <row r="75" spans="1:6" x14ac:dyDescent="0.3">
      <c r="A75" s="3">
        <v>2020</v>
      </c>
    </row>
    <row r="76" spans="1:6" x14ac:dyDescent="0.3">
      <c r="A76" s="3">
        <v>2021</v>
      </c>
      <c r="B76">
        <v>0</v>
      </c>
      <c r="C76">
        <v>0.40404786938706871</v>
      </c>
      <c r="D76">
        <v>0.56615914602037831</v>
      </c>
      <c r="E76">
        <v>0.49719935781684887</v>
      </c>
      <c r="F76">
        <v>0.94625136420796618</v>
      </c>
    </row>
    <row r="77" spans="1:6" x14ac:dyDescent="0.3">
      <c r="A77" s="3">
        <v>2022</v>
      </c>
    </row>
    <row r="78" spans="1:6" x14ac:dyDescent="0.3">
      <c r="A78" s="3">
        <v>2023</v>
      </c>
    </row>
    <row r="79" spans="1:6" x14ac:dyDescent="0.3">
      <c r="A79" s="3">
        <v>2024</v>
      </c>
      <c r="B79">
        <v>0.13578433676959406</v>
      </c>
      <c r="C79">
        <v>0.54148203556132302</v>
      </c>
      <c r="D79">
        <v>0.59540687184492658</v>
      </c>
    </row>
    <row r="83" spans="1:6" x14ac:dyDescent="0.3">
      <c r="B83" s="57" t="s">
        <v>92</v>
      </c>
      <c r="C83" s="57"/>
    </row>
    <row r="84" spans="1:6" x14ac:dyDescent="0.3">
      <c r="B84" t="s">
        <v>123</v>
      </c>
    </row>
    <row r="85" spans="1:6" x14ac:dyDescent="0.3">
      <c r="B85" t="s">
        <v>124</v>
      </c>
    </row>
    <row r="86" spans="1:6" x14ac:dyDescent="0.3">
      <c r="B86" t="s">
        <v>125</v>
      </c>
    </row>
    <row r="87" spans="1:6" x14ac:dyDescent="0.3">
      <c r="B87" t="s">
        <v>126</v>
      </c>
    </row>
    <row r="90" spans="1:6" x14ac:dyDescent="0.3">
      <c r="A90" s="2" t="s">
        <v>86</v>
      </c>
      <c r="B90" t="s">
        <v>112</v>
      </c>
      <c r="C90" t="s">
        <v>96</v>
      </c>
      <c r="D90" t="s">
        <v>88</v>
      </c>
      <c r="E90" t="s">
        <v>89</v>
      </c>
      <c r="F90" t="s">
        <v>90</v>
      </c>
    </row>
    <row r="91" spans="1:6" x14ac:dyDescent="0.3">
      <c r="A91" s="3" t="s">
        <v>57</v>
      </c>
      <c r="B91">
        <v>0.76981899920854291</v>
      </c>
      <c r="C91">
        <v>0.59536357304756682</v>
      </c>
      <c r="D91">
        <v>0.85816066666666679</v>
      </c>
      <c r="E91">
        <v>0.7811435803941732</v>
      </c>
      <c r="F91">
        <v>0.56436852021064765</v>
      </c>
    </row>
    <row r="92" spans="1:6" x14ac:dyDescent="0.3">
      <c r="A92" s="3" t="s">
        <v>9</v>
      </c>
      <c r="B92">
        <v>0.38276634803443621</v>
      </c>
      <c r="C92">
        <v>6.3405619923347242E-2</v>
      </c>
      <c r="D92">
        <v>0.55190533333333336</v>
      </c>
      <c r="E92">
        <v>0.39369679602195673</v>
      </c>
      <c r="F92">
        <v>0.11133560061158436</v>
      </c>
    </row>
    <row r="93" spans="1:6" x14ac:dyDescent="0.3">
      <c r="A93" s="3" t="s">
        <v>38</v>
      </c>
      <c r="B93">
        <v>0.76031289837934291</v>
      </c>
      <c r="C93">
        <v>0.96138277088278323</v>
      </c>
      <c r="D93">
        <v>0.92529866666666682</v>
      </c>
      <c r="E93">
        <v>0.71956197733965033</v>
      </c>
      <c r="F93">
        <v>0.63535783347000752</v>
      </c>
    </row>
    <row r="94" spans="1:6" x14ac:dyDescent="0.3">
      <c r="A94" s="3" t="s">
        <v>26</v>
      </c>
      <c r="B94">
        <v>0.31797892428741809</v>
      </c>
      <c r="C94">
        <v>0.45949314137282499</v>
      </c>
      <c r="D94">
        <v>0.57662533333333332</v>
      </c>
      <c r="E94">
        <v>0.25607790052795187</v>
      </c>
      <c r="F94">
        <v>0.23262859545135892</v>
      </c>
    </row>
    <row r="95" spans="1:6" x14ac:dyDescent="0.3">
      <c r="A95" s="3" t="s">
        <v>12</v>
      </c>
      <c r="B95">
        <v>0.656990709815788</v>
      </c>
      <c r="C95">
        <v>0.52411387363336071</v>
      </c>
      <c r="D95">
        <v>0.80146866666666661</v>
      </c>
      <c r="E95">
        <v>0.62023636726797782</v>
      </c>
      <c r="F95">
        <v>0.67231857156786445</v>
      </c>
    </row>
    <row r="103" spans="1:18" x14ac:dyDescent="0.3">
      <c r="A103" s="3"/>
    </row>
    <row r="104" spans="1:18" x14ac:dyDescent="0.3">
      <c r="A104" s="3"/>
      <c r="R104" t="e">
        <f>AVERAGE(R93:R102)</f>
        <v>#DIV/0!</v>
      </c>
    </row>
    <row r="105" spans="1:18" x14ac:dyDescent="0.3">
      <c r="A105" t="s">
        <v>85</v>
      </c>
    </row>
    <row r="106" spans="1:18" x14ac:dyDescent="0.3">
      <c r="A106" s="2" t="s">
        <v>112</v>
      </c>
      <c r="B106" s="2" t="s">
        <v>87</v>
      </c>
      <c r="L106" s="53" t="s">
        <v>94</v>
      </c>
      <c r="M106" s="53" t="s">
        <v>97</v>
      </c>
    </row>
    <row r="107" spans="1:18" x14ac:dyDescent="0.3">
      <c r="A107" s="2" t="s">
        <v>86</v>
      </c>
      <c r="B107">
        <v>2015</v>
      </c>
      <c r="C107">
        <v>2016</v>
      </c>
      <c r="D107">
        <v>2017</v>
      </c>
      <c r="E107">
        <v>2018</v>
      </c>
      <c r="F107">
        <v>2019</v>
      </c>
      <c r="G107">
        <v>2020</v>
      </c>
      <c r="H107">
        <v>2021</v>
      </c>
      <c r="I107">
        <v>2022</v>
      </c>
      <c r="J107">
        <v>2023</v>
      </c>
      <c r="K107">
        <v>2024</v>
      </c>
      <c r="L107" s="54"/>
      <c r="M107" s="54"/>
    </row>
    <row r="108" spans="1:18" x14ac:dyDescent="0.3">
      <c r="A108" s="1" t="s">
        <v>10</v>
      </c>
      <c r="B108">
        <v>0.39615535655501877</v>
      </c>
      <c r="C108">
        <v>0.46557586301902387</v>
      </c>
      <c r="D108">
        <v>0.2764625151004832</v>
      </c>
      <c r="E108">
        <v>0.45568196926914778</v>
      </c>
      <c r="F108">
        <v>0.30304255632585003</v>
      </c>
      <c r="G108">
        <v>0.44075004835560944</v>
      </c>
      <c r="H108">
        <v>0.17817571320261452</v>
      </c>
      <c r="I108">
        <v>0.47253634351323304</v>
      </c>
      <c r="J108">
        <v>0.38245536704512506</v>
      </c>
      <c r="K108">
        <v>0.45682774795825648</v>
      </c>
      <c r="L108">
        <f>IFERROR(AVERAGE(I108:K108)-AVERAGE(B108:D108),0)</f>
        <v>5.787524128069621E-2</v>
      </c>
      <c r="M108">
        <f>IFERROR(AVERAGE(B108:K108),0)</f>
        <v>0.38276634803443621</v>
      </c>
    </row>
    <row r="109" spans="1:18" x14ac:dyDescent="0.3">
      <c r="A109" s="1" t="s">
        <v>27</v>
      </c>
      <c r="B109">
        <v>7.1035103721290654E-2</v>
      </c>
      <c r="C109">
        <v>0.27082355933017044</v>
      </c>
      <c r="D109">
        <v>4.6304806255642837E-2</v>
      </c>
      <c r="E109">
        <v>0.45810224274938727</v>
      </c>
      <c r="F109">
        <v>0.26480192894037091</v>
      </c>
      <c r="G109">
        <v>0.42808202305940379</v>
      </c>
      <c r="H109">
        <v>0.23776151374314108</v>
      </c>
      <c r="I109">
        <v>0.46381938791034788</v>
      </c>
      <c r="J109">
        <v>0.41050433597543207</v>
      </c>
      <c r="K109">
        <v>0.52855434118899391</v>
      </c>
      <c r="L109">
        <f>IFERROR(AVERAGE(I109:K109)-AVERAGE(B109:D109),0)</f>
        <v>0.33823819858922333</v>
      </c>
      <c r="M109">
        <f>IFERROR(AVERAGE(B109:K109),0)</f>
        <v>0.31797892428741809</v>
      </c>
    </row>
    <row r="110" spans="1:18" x14ac:dyDescent="0.3">
      <c r="A110" s="1" t="s">
        <v>13</v>
      </c>
      <c r="B110">
        <v>0.61190944674947856</v>
      </c>
      <c r="C110">
        <v>0.66988514128281329</v>
      </c>
      <c r="D110">
        <v>0.53836977396533259</v>
      </c>
      <c r="E110">
        <v>0.70921554281691179</v>
      </c>
      <c r="F110">
        <v>0.50821065820494249</v>
      </c>
      <c r="G110">
        <v>0.66849177020628026</v>
      </c>
      <c r="H110">
        <v>0.65461139042283412</v>
      </c>
      <c r="I110">
        <v>0.7072860530410392</v>
      </c>
      <c r="J110">
        <v>0.6474793460564412</v>
      </c>
      <c r="K110">
        <v>0.85444797541180673</v>
      </c>
      <c r="L110">
        <f>IFERROR(AVERAGE(I110:K110)-AVERAGE(B110:D110),0)</f>
        <v>0.12968300417055423</v>
      </c>
      <c r="M110">
        <f>IFERROR(AVERAGE(B110:K110),0)</f>
        <v>0.656990709815788</v>
      </c>
    </row>
    <row r="111" spans="1:18" x14ac:dyDescent="0.3">
      <c r="A111" s="1" t="s">
        <v>58</v>
      </c>
      <c r="B111">
        <v>0.67705505452777937</v>
      </c>
      <c r="C111">
        <v>0.72841836592348563</v>
      </c>
      <c r="D111">
        <v>0.7273825896380367</v>
      </c>
      <c r="E111">
        <v>0.81127084121930171</v>
      </c>
      <c r="F111">
        <v>0.59675259273086712</v>
      </c>
      <c r="G111">
        <v>0.79541618043991147</v>
      </c>
      <c r="H111">
        <v>0.65531353101335021</v>
      </c>
      <c r="I111">
        <v>0.85944603861130819</v>
      </c>
      <c r="J111">
        <v>0.89159615921585211</v>
      </c>
      <c r="K111">
        <v>0.95553863876553746</v>
      </c>
      <c r="L111">
        <f>IFERROR(AVERAGE(I111:K111)-AVERAGE(B111:D111),0)</f>
        <v>0.19124160883446539</v>
      </c>
      <c r="M111">
        <f>IFERROR(AVERAGE(B111:K111),0)</f>
        <v>0.76981899920854291</v>
      </c>
    </row>
    <row r="112" spans="1:18" x14ac:dyDescent="0.3">
      <c r="A112" s="1" t="s">
        <v>39</v>
      </c>
      <c r="B112">
        <v>0.83328053612667397</v>
      </c>
      <c r="C112">
        <v>0.88460321558323551</v>
      </c>
      <c r="D112">
        <v>0.72855010528395581</v>
      </c>
      <c r="E112">
        <v>0.85138911416851593</v>
      </c>
      <c r="F112">
        <v>0.57618978344839666</v>
      </c>
      <c r="G112">
        <v>0.75330579090862093</v>
      </c>
      <c r="H112">
        <v>0.63100639959571958</v>
      </c>
      <c r="I112">
        <v>0.794053341846095</v>
      </c>
      <c r="J112">
        <v>0.70395887434193438</v>
      </c>
      <c r="K112">
        <v>0.84679182249028095</v>
      </c>
      <c r="L112">
        <f>IFERROR(AVERAGE(I112:K112)-AVERAGE(B112:D112),0)</f>
        <v>-3.3876606105184948E-2</v>
      </c>
      <c r="M112">
        <f>IFERROR(AVERAGE(B112:K112),0)</f>
        <v>0.76031289837934279</v>
      </c>
    </row>
    <row r="117" spans="1:12" x14ac:dyDescent="0.3">
      <c r="A117" s="2" t="s">
        <v>96</v>
      </c>
      <c r="B117" s="2" t="s">
        <v>87</v>
      </c>
      <c r="L117" s="53" t="s">
        <v>95</v>
      </c>
    </row>
    <row r="118" spans="1:12" x14ac:dyDescent="0.3">
      <c r="A118" s="2" t="s">
        <v>86</v>
      </c>
      <c r="B118">
        <v>2015</v>
      </c>
      <c r="C118">
        <v>2016</v>
      </c>
      <c r="D118">
        <v>2017</v>
      </c>
      <c r="E118">
        <v>2018</v>
      </c>
      <c r="F118">
        <v>2019</v>
      </c>
      <c r="G118">
        <v>2020</v>
      </c>
      <c r="H118">
        <v>2021</v>
      </c>
      <c r="I118">
        <v>2022</v>
      </c>
      <c r="J118">
        <v>2023</v>
      </c>
      <c r="K118">
        <v>2024</v>
      </c>
      <c r="L118" s="54"/>
    </row>
    <row r="119" spans="1:12" x14ac:dyDescent="0.3">
      <c r="A119" s="1" t="s">
        <v>10</v>
      </c>
      <c r="D119">
        <v>5.4432523000447652E-2</v>
      </c>
      <c r="H119">
        <v>0</v>
      </c>
      <c r="K119">
        <v>0.13578433676959406</v>
      </c>
      <c r="L119" s="24">
        <f>AVERAGE(D119:K119)</f>
        <v>6.3405619923347242E-2</v>
      </c>
    </row>
    <row r="120" spans="1:12" x14ac:dyDescent="0.3">
      <c r="A120" s="1" t="s">
        <v>27</v>
      </c>
      <c r="D120">
        <v>0.43294951917008317</v>
      </c>
      <c r="H120">
        <v>0.40404786938706871</v>
      </c>
      <c r="K120">
        <v>0.54148203556132302</v>
      </c>
      <c r="L120" s="24">
        <f t="shared" ref="L120:L123" si="0">AVERAGE(D120:K120)</f>
        <v>0.45949314137282499</v>
      </c>
    </row>
    <row r="121" spans="1:12" x14ac:dyDescent="0.3">
      <c r="A121" s="1" t="s">
        <v>13</v>
      </c>
      <c r="D121">
        <v>0.41077560303477711</v>
      </c>
      <c r="H121">
        <v>0.56615914602037831</v>
      </c>
      <c r="K121">
        <v>0.59540687184492658</v>
      </c>
      <c r="L121" s="24">
        <f t="shared" si="0"/>
        <v>0.52411387363336071</v>
      </c>
    </row>
    <row r="122" spans="1:12" x14ac:dyDescent="0.3">
      <c r="A122" s="1" t="s">
        <v>58</v>
      </c>
      <c r="D122">
        <v>0.69352778827828487</v>
      </c>
      <c r="H122">
        <v>0.49719935781684887</v>
      </c>
      <c r="L122" s="24">
        <f t="shared" si="0"/>
        <v>0.59536357304756682</v>
      </c>
    </row>
    <row r="123" spans="1:12" x14ac:dyDescent="0.3">
      <c r="A123" s="1" t="s">
        <v>39</v>
      </c>
      <c r="D123">
        <v>0.97651417755760028</v>
      </c>
      <c r="H123">
        <v>0.94625136420796618</v>
      </c>
      <c r="L123" s="24">
        <f t="shared" si="0"/>
        <v>0.96138277088278323</v>
      </c>
    </row>
    <row r="133" spans="1:5" x14ac:dyDescent="0.3">
      <c r="A133" s="2" t="s">
        <v>86</v>
      </c>
      <c r="B133" t="s">
        <v>88</v>
      </c>
      <c r="C133" t="s">
        <v>89</v>
      </c>
      <c r="D133" t="s">
        <v>90</v>
      </c>
      <c r="E133" s="5" t="s">
        <v>98</v>
      </c>
    </row>
    <row r="134" spans="1:5" x14ac:dyDescent="0.3">
      <c r="A134" s="1" t="s">
        <v>10</v>
      </c>
      <c r="B134">
        <v>0.55190533333333336</v>
      </c>
      <c r="C134">
        <v>0.39369679602195673</v>
      </c>
      <c r="D134">
        <v>0.11133560061158436</v>
      </c>
      <c r="E134">
        <f>MAX(B134:D134)</f>
        <v>0.55190533333333336</v>
      </c>
    </row>
    <row r="135" spans="1:5" x14ac:dyDescent="0.3">
      <c r="A135" s="1" t="s">
        <v>27</v>
      </c>
      <c r="B135">
        <v>0.57662533333333332</v>
      </c>
      <c r="C135">
        <v>0.25607790052795187</v>
      </c>
      <c r="D135">
        <v>0.23262859545135892</v>
      </c>
      <c r="E135">
        <f>MAX(B135:D135)</f>
        <v>0.57662533333333332</v>
      </c>
    </row>
    <row r="136" spans="1:5" x14ac:dyDescent="0.3">
      <c r="A136" s="1" t="s">
        <v>13</v>
      </c>
      <c r="B136">
        <v>0.80146866666666661</v>
      </c>
      <c r="C136">
        <v>0.62023636726797782</v>
      </c>
      <c r="D136">
        <v>0.67231857156786445</v>
      </c>
      <c r="E136">
        <f>MAX(B136:D136)</f>
        <v>0.80146866666666661</v>
      </c>
    </row>
    <row r="137" spans="1:5" x14ac:dyDescent="0.3">
      <c r="A137" s="1" t="s">
        <v>58</v>
      </c>
      <c r="B137">
        <v>0.85816066666666679</v>
      </c>
      <c r="C137">
        <v>0.7811435803941732</v>
      </c>
      <c r="D137">
        <v>0.56436852021064765</v>
      </c>
      <c r="E137">
        <f>MAX(B137:D137)</f>
        <v>0.85816066666666679</v>
      </c>
    </row>
    <row r="138" spans="1:5" x14ac:dyDescent="0.3">
      <c r="A138" s="1" t="s">
        <v>39</v>
      </c>
      <c r="B138">
        <v>0.92529866666666682</v>
      </c>
      <c r="C138">
        <v>0.71956197733965033</v>
      </c>
      <c r="D138">
        <v>0.63535783347000752</v>
      </c>
      <c r="E138">
        <f>MAX(B138:D138)</f>
        <v>0.92529866666666682</v>
      </c>
    </row>
  </sheetData>
  <mergeCells count="9">
    <mergeCell ref="L117:L118"/>
    <mergeCell ref="L106:L107"/>
    <mergeCell ref="M106:M107"/>
    <mergeCell ref="A6:J6"/>
    <mergeCell ref="A1:A4"/>
    <mergeCell ref="A27:E27"/>
    <mergeCell ref="A45:E45"/>
    <mergeCell ref="B66:F66"/>
    <mergeCell ref="B83:C83"/>
  </mergeCells>
  <pageMargins left="0.7" right="0.7" top="0.75" bottom="0.75" header="0.3" footer="0.3"/>
  <pageSetup orientation="portrait" horizontalDpi="4294967294" verticalDpi="4294967294" r:id="rId9"/>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C55A-9748-4597-B435-C827B9778DC9}">
  <sheetPr>
    <tabColor rgb="FFFF2E63"/>
  </sheetPr>
  <dimension ref="A2:J107"/>
  <sheetViews>
    <sheetView topLeftCell="A7" workbookViewId="0">
      <selection activeCell="O6" sqref="O6:Q6"/>
    </sheetView>
  </sheetViews>
  <sheetFormatPr defaultRowHeight="14.4" x14ac:dyDescent="0.3"/>
  <cols>
    <col min="1" max="1" width="18.44140625" bestFit="1" customWidth="1"/>
    <col min="2" max="2" width="31.33203125" bestFit="1" customWidth="1"/>
    <col min="3" max="3" width="28.109375" bestFit="1" customWidth="1"/>
    <col min="4" max="4" width="19.109375" bestFit="1" customWidth="1"/>
    <col min="5" max="5" width="21" bestFit="1" customWidth="1"/>
  </cols>
  <sheetData>
    <row r="2" spans="1:10" x14ac:dyDescent="0.3">
      <c r="A2" s="59" t="s">
        <v>127</v>
      </c>
      <c r="B2" s="59"/>
      <c r="C2" s="59"/>
      <c r="D2" s="59"/>
      <c r="E2" s="59"/>
      <c r="F2" s="59"/>
      <c r="G2" s="59"/>
      <c r="H2" s="59"/>
      <c r="I2" s="59"/>
      <c r="J2" s="59"/>
    </row>
    <row r="3" spans="1:10" x14ac:dyDescent="0.3">
      <c r="A3" s="2" t="s">
        <v>86</v>
      </c>
      <c r="B3" t="s">
        <v>88</v>
      </c>
    </row>
    <row r="4" spans="1:10" x14ac:dyDescent="0.3">
      <c r="A4" s="3" t="s">
        <v>39</v>
      </c>
      <c r="B4">
        <v>0.92529866666666682</v>
      </c>
    </row>
    <row r="5" spans="1:10" x14ac:dyDescent="0.3">
      <c r="A5" s="3" t="s">
        <v>58</v>
      </c>
      <c r="B5">
        <v>0.85816066666666679</v>
      </c>
    </row>
    <row r="6" spans="1:10" x14ac:dyDescent="0.3">
      <c r="A6" s="3" t="s">
        <v>13</v>
      </c>
      <c r="B6">
        <v>0.80146866666666661</v>
      </c>
    </row>
    <row r="7" spans="1:10" x14ac:dyDescent="0.3">
      <c r="A7" s="3" t="s">
        <v>27</v>
      </c>
      <c r="B7">
        <v>0.57662533333333332</v>
      </c>
    </row>
    <row r="8" spans="1:10" x14ac:dyDescent="0.3">
      <c r="A8" s="3" t="s">
        <v>10</v>
      </c>
      <c r="B8">
        <v>0.55190533333333336</v>
      </c>
    </row>
    <row r="19" spans="1:5" x14ac:dyDescent="0.3">
      <c r="A19" s="2" t="s">
        <v>86</v>
      </c>
      <c r="B19" t="s">
        <v>90</v>
      </c>
    </row>
    <row r="20" spans="1:5" x14ac:dyDescent="0.3">
      <c r="A20" s="3" t="s">
        <v>13</v>
      </c>
      <c r="B20">
        <v>0.67231857156786445</v>
      </c>
    </row>
    <row r="21" spans="1:5" x14ac:dyDescent="0.3">
      <c r="A21" s="3" t="s">
        <v>39</v>
      </c>
      <c r="B21">
        <v>0.63535783347000752</v>
      </c>
    </row>
    <row r="22" spans="1:5" x14ac:dyDescent="0.3">
      <c r="A22" s="3" t="s">
        <v>58</v>
      </c>
      <c r="B22">
        <v>0.56436852021064765</v>
      </c>
    </row>
    <row r="23" spans="1:5" x14ac:dyDescent="0.3">
      <c r="A23" s="3" t="s">
        <v>27</v>
      </c>
      <c r="B23">
        <v>0.23262859545135892</v>
      </c>
    </row>
    <row r="24" spans="1:5" x14ac:dyDescent="0.3">
      <c r="A24" s="3" t="s">
        <v>10</v>
      </c>
      <c r="B24">
        <v>0.11133560061158436</v>
      </c>
    </row>
    <row r="27" spans="1:5" x14ac:dyDescent="0.3">
      <c r="A27" s="59" t="s">
        <v>99</v>
      </c>
      <c r="B27" s="59"/>
      <c r="C27" s="59"/>
      <c r="D27" s="59"/>
      <c r="E27" s="59"/>
    </row>
    <row r="29" spans="1:5" x14ac:dyDescent="0.3">
      <c r="A29" s="2" t="s">
        <v>86</v>
      </c>
      <c r="B29" t="s">
        <v>147</v>
      </c>
    </row>
    <row r="30" spans="1:5" x14ac:dyDescent="0.3">
      <c r="A30" s="3" t="s">
        <v>58</v>
      </c>
      <c r="B30">
        <v>0.7811435803941732</v>
      </c>
    </row>
    <row r="31" spans="1:5" x14ac:dyDescent="0.3">
      <c r="A31" s="3" t="s">
        <v>39</v>
      </c>
      <c r="B31">
        <v>0.71956197733965033</v>
      </c>
    </row>
    <row r="32" spans="1:5" x14ac:dyDescent="0.3">
      <c r="A32" s="3" t="s">
        <v>13</v>
      </c>
      <c r="B32">
        <v>0.62023636726797782</v>
      </c>
    </row>
    <row r="33" spans="1:5" x14ac:dyDescent="0.3">
      <c r="A33" s="3" t="s">
        <v>10</v>
      </c>
      <c r="B33">
        <v>0.39369679602195673</v>
      </c>
    </row>
    <row r="34" spans="1:5" x14ac:dyDescent="0.3">
      <c r="A34" s="3" t="s">
        <v>27</v>
      </c>
      <c r="B34">
        <v>0.25607790052795187</v>
      </c>
    </row>
    <row r="48" spans="1:5" x14ac:dyDescent="0.3">
      <c r="A48" s="59" t="s">
        <v>100</v>
      </c>
      <c r="B48" s="59"/>
      <c r="C48" s="59"/>
      <c r="D48" s="59"/>
      <c r="E48" s="59"/>
    </row>
    <row r="50" spans="1:2" x14ac:dyDescent="0.3">
      <c r="A50" s="2" t="s">
        <v>86</v>
      </c>
      <c r="B50" t="s">
        <v>112</v>
      </c>
    </row>
    <row r="51" spans="1:2" x14ac:dyDescent="0.3">
      <c r="A51" s="3" t="s">
        <v>58</v>
      </c>
      <c r="B51">
        <v>0.76981899920854291</v>
      </c>
    </row>
    <row r="52" spans="1:2" x14ac:dyDescent="0.3">
      <c r="A52" s="3" t="s">
        <v>39</v>
      </c>
      <c r="B52">
        <v>0.76031289837934291</v>
      </c>
    </row>
    <row r="53" spans="1:2" x14ac:dyDescent="0.3">
      <c r="A53" s="3" t="s">
        <v>13</v>
      </c>
      <c r="B53">
        <v>0.656990709815788</v>
      </c>
    </row>
    <row r="54" spans="1:2" x14ac:dyDescent="0.3">
      <c r="A54" s="3" t="s">
        <v>10</v>
      </c>
      <c r="B54">
        <v>0.38276634803443621</v>
      </c>
    </row>
    <row r="55" spans="1:2" x14ac:dyDescent="0.3">
      <c r="A55" s="3" t="s">
        <v>27</v>
      </c>
      <c r="B55">
        <v>0.31797892428741809</v>
      </c>
    </row>
    <row r="66" spans="1:3" x14ac:dyDescent="0.3">
      <c r="A66" t="s">
        <v>101</v>
      </c>
    </row>
    <row r="67" spans="1:3" x14ac:dyDescent="0.3">
      <c r="A67" s="58" t="s">
        <v>102</v>
      </c>
      <c r="B67" s="58"/>
    </row>
    <row r="68" spans="1:3" x14ac:dyDescent="0.3">
      <c r="A68" s="2" t="s">
        <v>2</v>
      </c>
      <c r="B68" t="s">
        <v>112</v>
      </c>
      <c r="C68" t="s">
        <v>107</v>
      </c>
    </row>
    <row r="69" spans="1:3" x14ac:dyDescent="0.3">
      <c r="A69" t="s">
        <v>39</v>
      </c>
      <c r="B69">
        <v>0.76031289837934291</v>
      </c>
    </row>
    <row r="70" spans="1:3" x14ac:dyDescent="0.3">
      <c r="A70" t="s">
        <v>58</v>
      </c>
      <c r="B70">
        <v>0.76981899920854291</v>
      </c>
    </row>
    <row r="71" spans="1:3" x14ac:dyDescent="0.3">
      <c r="A71" t="s">
        <v>13</v>
      </c>
      <c r="B71">
        <v>0.656990709815788</v>
      </c>
    </row>
    <row r="72" spans="1:3" x14ac:dyDescent="0.3">
      <c r="A72" t="s">
        <v>27</v>
      </c>
      <c r="B72">
        <v>0.31797892428741809</v>
      </c>
    </row>
    <row r="73" spans="1:3" x14ac:dyDescent="0.3">
      <c r="A73" t="s">
        <v>10</v>
      </c>
      <c r="B73">
        <v>0.38276634803443621</v>
      </c>
    </row>
    <row r="77" spans="1:3" x14ac:dyDescent="0.3">
      <c r="A77" s="58" t="s">
        <v>103</v>
      </c>
      <c r="B77" s="58"/>
    </row>
    <row r="78" spans="1:3" x14ac:dyDescent="0.3">
      <c r="A78" s="2" t="s">
        <v>86</v>
      </c>
      <c r="B78" t="s">
        <v>96</v>
      </c>
      <c r="C78" t="s">
        <v>108</v>
      </c>
    </row>
    <row r="79" spans="1:3" x14ac:dyDescent="0.3">
      <c r="A79" s="3" t="s">
        <v>39</v>
      </c>
      <c r="B79">
        <v>0.96138277088278323</v>
      </c>
    </row>
    <row r="80" spans="1:3" x14ac:dyDescent="0.3">
      <c r="A80" s="3" t="s">
        <v>58</v>
      </c>
      <c r="B80">
        <v>0.59536357304756682</v>
      </c>
    </row>
    <row r="81" spans="1:3" x14ac:dyDescent="0.3">
      <c r="A81" s="3" t="s">
        <v>13</v>
      </c>
      <c r="B81">
        <v>0.52411387363336071</v>
      </c>
    </row>
    <row r="82" spans="1:3" x14ac:dyDescent="0.3">
      <c r="A82" s="3" t="s">
        <v>27</v>
      </c>
      <c r="B82">
        <v>0.45949314137282499</v>
      </c>
    </row>
    <row r="83" spans="1:3" x14ac:dyDescent="0.3">
      <c r="A83" s="3" t="s">
        <v>10</v>
      </c>
      <c r="B83">
        <v>6.3405619923347242E-2</v>
      </c>
    </row>
    <row r="85" spans="1:3" x14ac:dyDescent="0.3">
      <c r="A85" s="58" t="s">
        <v>104</v>
      </c>
      <c r="B85" s="58"/>
    </row>
    <row r="86" spans="1:3" x14ac:dyDescent="0.3">
      <c r="A86" s="2" t="s">
        <v>86</v>
      </c>
      <c r="B86" t="s">
        <v>88</v>
      </c>
      <c r="C86" t="s">
        <v>109</v>
      </c>
    </row>
    <row r="87" spans="1:3" x14ac:dyDescent="0.3">
      <c r="A87" s="3" t="s">
        <v>39</v>
      </c>
      <c r="B87">
        <v>0.92529866666666682</v>
      </c>
    </row>
    <row r="88" spans="1:3" x14ac:dyDescent="0.3">
      <c r="A88" s="3" t="s">
        <v>58</v>
      </c>
      <c r="B88">
        <v>0.85816066666666679</v>
      </c>
    </row>
    <row r="89" spans="1:3" x14ac:dyDescent="0.3">
      <c r="A89" s="3" t="s">
        <v>13</v>
      </c>
      <c r="B89">
        <v>0.80146866666666661</v>
      </c>
    </row>
    <row r="90" spans="1:3" x14ac:dyDescent="0.3">
      <c r="A90" s="3" t="s">
        <v>27</v>
      </c>
      <c r="B90">
        <v>0.57662533333333332</v>
      </c>
    </row>
    <row r="91" spans="1:3" x14ac:dyDescent="0.3">
      <c r="A91" s="3" t="s">
        <v>10</v>
      </c>
      <c r="B91">
        <v>0.55190533333333336</v>
      </c>
    </row>
    <row r="93" spans="1:3" x14ac:dyDescent="0.3">
      <c r="A93" s="58" t="s">
        <v>105</v>
      </c>
      <c r="B93" s="58"/>
    </row>
    <row r="94" spans="1:3" x14ac:dyDescent="0.3">
      <c r="A94" s="2" t="s">
        <v>86</v>
      </c>
      <c r="B94" t="s">
        <v>89</v>
      </c>
      <c r="C94" t="s">
        <v>110</v>
      </c>
    </row>
    <row r="95" spans="1:3" x14ac:dyDescent="0.3">
      <c r="A95" s="3" t="s">
        <v>39</v>
      </c>
      <c r="B95">
        <v>0.71956197733965033</v>
      </c>
    </row>
    <row r="96" spans="1:3" x14ac:dyDescent="0.3">
      <c r="A96" s="3" t="s">
        <v>58</v>
      </c>
      <c r="B96">
        <v>0.7811435803941732</v>
      </c>
    </row>
    <row r="97" spans="1:3" x14ac:dyDescent="0.3">
      <c r="A97" s="3" t="s">
        <v>13</v>
      </c>
      <c r="B97">
        <v>0.62023636726797782</v>
      </c>
    </row>
    <row r="98" spans="1:3" x14ac:dyDescent="0.3">
      <c r="A98" s="3" t="s">
        <v>27</v>
      </c>
      <c r="B98">
        <v>0.25607790052795187</v>
      </c>
    </row>
    <row r="99" spans="1:3" x14ac:dyDescent="0.3">
      <c r="A99" s="3" t="s">
        <v>10</v>
      </c>
      <c r="B99">
        <v>0.39369679602195673</v>
      </c>
    </row>
    <row r="101" spans="1:3" x14ac:dyDescent="0.3">
      <c r="A101" s="58" t="s">
        <v>106</v>
      </c>
      <c r="B101" s="58"/>
    </row>
    <row r="102" spans="1:3" x14ac:dyDescent="0.3">
      <c r="A102" s="2" t="s">
        <v>86</v>
      </c>
      <c r="B102" t="s">
        <v>90</v>
      </c>
      <c r="C102" t="s">
        <v>111</v>
      </c>
    </row>
    <row r="103" spans="1:3" x14ac:dyDescent="0.3">
      <c r="A103" s="3" t="s">
        <v>39</v>
      </c>
      <c r="B103">
        <v>0.63535783347000752</v>
      </c>
    </row>
    <row r="104" spans="1:3" x14ac:dyDescent="0.3">
      <c r="A104" s="3" t="s">
        <v>58</v>
      </c>
      <c r="B104">
        <v>0.56436852021064765</v>
      </c>
    </row>
    <row r="105" spans="1:3" x14ac:dyDescent="0.3">
      <c r="A105" s="3" t="s">
        <v>13</v>
      </c>
      <c r="B105">
        <v>0.67231857156786445</v>
      </c>
    </row>
    <row r="106" spans="1:3" x14ac:dyDescent="0.3">
      <c r="A106" s="3" t="s">
        <v>27</v>
      </c>
      <c r="B106">
        <v>0.23262859545135892</v>
      </c>
    </row>
    <row r="107" spans="1:3" x14ac:dyDescent="0.3">
      <c r="A107" s="3" t="s">
        <v>10</v>
      </c>
      <c r="B107">
        <v>0.11133560061158436</v>
      </c>
    </row>
  </sheetData>
  <mergeCells count="8">
    <mergeCell ref="A85:B85"/>
    <mergeCell ref="A93:B93"/>
    <mergeCell ref="A101:B101"/>
    <mergeCell ref="A2:J2"/>
    <mergeCell ref="A27:E27"/>
    <mergeCell ref="A48:E48"/>
    <mergeCell ref="A67:B67"/>
    <mergeCell ref="A77:B77"/>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E3B1-F52B-4FBA-82DE-A280AFF598C2}">
  <sheetPr>
    <tabColor rgb="FF0070C0"/>
  </sheetPr>
  <dimension ref="A2:M104"/>
  <sheetViews>
    <sheetView topLeftCell="A57" workbookViewId="0">
      <selection activeCell="B76" sqref="B76:G81"/>
    </sheetView>
  </sheetViews>
  <sheetFormatPr defaultRowHeight="14.4" x14ac:dyDescent="0.3"/>
  <cols>
    <col min="1" max="1" width="18.44140625" bestFit="1" customWidth="1"/>
    <col min="2" max="2" width="21" bestFit="1" customWidth="1"/>
    <col min="3" max="3" width="6.88671875" bestFit="1" customWidth="1"/>
    <col min="4" max="4" width="5" bestFit="1" customWidth="1"/>
    <col min="5" max="5" width="12" bestFit="1" customWidth="1"/>
    <col min="6" max="8" width="5" bestFit="1" customWidth="1"/>
    <col min="9" max="9" width="12" bestFit="1" customWidth="1"/>
    <col min="10" max="10" width="18.44140625" bestFit="1" customWidth="1"/>
    <col min="11" max="11" width="31.33203125" bestFit="1" customWidth="1"/>
    <col min="12" max="12" width="21" bestFit="1" customWidth="1"/>
    <col min="13" max="22" width="36.109375" bestFit="1" customWidth="1"/>
    <col min="23" max="28" width="31.33203125" bestFit="1" customWidth="1"/>
    <col min="29" max="44" width="12" bestFit="1" customWidth="1"/>
    <col min="45" max="45" width="11" bestFit="1" customWidth="1"/>
    <col min="46" max="51" width="12" bestFit="1" customWidth="1"/>
    <col min="52" max="52" width="14" bestFit="1" customWidth="1"/>
    <col min="53" max="53" width="22.5546875" bestFit="1" customWidth="1"/>
    <col min="54" max="54" width="14" bestFit="1" customWidth="1"/>
    <col min="55" max="55" width="22.5546875" bestFit="1" customWidth="1"/>
    <col min="56" max="56" width="14" bestFit="1" customWidth="1"/>
    <col min="57" max="57" width="22.5546875" bestFit="1" customWidth="1"/>
    <col min="58" max="58" width="14" bestFit="1" customWidth="1"/>
    <col min="59" max="59" width="22.5546875" bestFit="1" customWidth="1"/>
    <col min="60" max="60" width="14" bestFit="1" customWidth="1"/>
    <col min="61" max="61" width="22.5546875" bestFit="1" customWidth="1"/>
    <col min="62" max="62" width="14" bestFit="1" customWidth="1"/>
    <col min="63" max="63" width="22.5546875" bestFit="1" customWidth="1"/>
    <col min="64" max="64" width="14" bestFit="1" customWidth="1"/>
    <col min="65" max="65" width="21.5546875" bestFit="1" customWidth="1"/>
    <col min="66" max="66" width="14" bestFit="1" customWidth="1"/>
    <col min="67" max="67" width="22.5546875" bestFit="1" customWidth="1"/>
    <col min="68" max="68" width="14" bestFit="1" customWidth="1"/>
    <col min="69" max="69" width="21.5546875" bestFit="1" customWidth="1"/>
    <col min="70" max="70" width="14" bestFit="1" customWidth="1"/>
    <col min="71" max="71" width="22.5546875" bestFit="1" customWidth="1"/>
    <col min="72" max="72" width="14" bestFit="1" customWidth="1"/>
    <col min="73" max="73" width="22.5546875" bestFit="1" customWidth="1"/>
    <col min="74" max="74" width="14" bestFit="1" customWidth="1"/>
    <col min="75" max="75" width="22.5546875" bestFit="1" customWidth="1"/>
    <col min="76" max="76" width="14" bestFit="1" customWidth="1"/>
    <col min="77" max="77" width="22.5546875" bestFit="1" customWidth="1"/>
    <col min="78" max="78" width="14" bestFit="1" customWidth="1"/>
    <col min="79" max="79" width="22.5546875" bestFit="1" customWidth="1"/>
    <col min="80" max="80" width="14" bestFit="1" customWidth="1"/>
    <col min="81" max="81" width="22.5546875" bestFit="1" customWidth="1"/>
    <col min="82" max="82" width="14" bestFit="1" customWidth="1"/>
    <col min="83" max="83" width="22.5546875" bestFit="1" customWidth="1"/>
    <col min="84" max="84" width="14" bestFit="1" customWidth="1"/>
    <col min="85" max="85" width="22.5546875" bestFit="1" customWidth="1"/>
    <col min="86" max="86" width="14" bestFit="1" customWidth="1"/>
    <col min="87" max="87" width="22.5546875" bestFit="1" customWidth="1"/>
    <col min="88" max="88" width="14" bestFit="1" customWidth="1"/>
    <col min="89" max="89" width="22.5546875" bestFit="1" customWidth="1"/>
    <col min="90" max="90" width="13" bestFit="1" customWidth="1"/>
    <col min="91" max="91" width="22.5546875" bestFit="1" customWidth="1"/>
    <col min="92" max="92" width="14" bestFit="1" customWidth="1"/>
    <col min="93" max="93" width="22.5546875" bestFit="1" customWidth="1"/>
    <col min="94" max="94" width="14" bestFit="1" customWidth="1"/>
    <col min="95" max="95" width="22.5546875" bestFit="1" customWidth="1"/>
    <col min="96" max="96" width="14" bestFit="1" customWidth="1"/>
    <col min="97" max="97" width="22.5546875" bestFit="1" customWidth="1"/>
    <col min="98" max="98" width="14" bestFit="1" customWidth="1"/>
    <col min="99" max="99" width="22.5546875" bestFit="1" customWidth="1"/>
    <col min="100" max="100" width="14" bestFit="1" customWidth="1"/>
    <col min="101" max="101" width="22.5546875" bestFit="1" customWidth="1"/>
    <col min="102" max="102" width="14" bestFit="1" customWidth="1"/>
    <col min="103" max="103" width="22.5546875" bestFit="1" customWidth="1"/>
  </cols>
  <sheetData>
    <row r="2" spans="1:12" x14ac:dyDescent="0.3">
      <c r="A2" s="59" t="s">
        <v>137</v>
      </c>
      <c r="B2" s="59"/>
      <c r="C2" s="59"/>
      <c r="D2" s="59"/>
      <c r="E2" s="59"/>
    </row>
    <row r="3" spans="1:12" x14ac:dyDescent="0.3">
      <c r="A3" t="s">
        <v>2</v>
      </c>
      <c r="B3" t="s">
        <v>89</v>
      </c>
      <c r="C3" t="s">
        <v>96</v>
      </c>
    </row>
    <row r="4" spans="1:12" x14ac:dyDescent="0.3">
      <c r="A4" t="s">
        <v>39</v>
      </c>
      <c r="B4">
        <v>0.71956197733965033</v>
      </c>
      <c r="C4">
        <v>0.96138277088278323</v>
      </c>
    </row>
    <row r="5" spans="1:12" x14ac:dyDescent="0.3">
      <c r="A5" t="s">
        <v>58</v>
      </c>
      <c r="B5">
        <v>0.7811435803941732</v>
      </c>
      <c r="C5">
        <v>0.59536357304756682</v>
      </c>
    </row>
    <row r="6" spans="1:12" x14ac:dyDescent="0.3">
      <c r="A6" t="s">
        <v>13</v>
      </c>
      <c r="B6">
        <v>0.62023636726797782</v>
      </c>
      <c r="C6">
        <v>0.52411387363336071</v>
      </c>
    </row>
    <row r="7" spans="1:12" x14ac:dyDescent="0.3">
      <c r="A7" t="s">
        <v>27</v>
      </c>
      <c r="B7">
        <v>0.25607790052795187</v>
      </c>
      <c r="C7">
        <v>0.45949314137282499</v>
      </c>
      <c r="J7" s="2" t="s">
        <v>2</v>
      </c>
      <c r="K7" t="s">
        <v>88</v>
      </c>
      <c r="L7" t="s">
        <v>96</v>
      </c>
    </row>
    <row r="8" spans="1:12" x14ac:dyDescent="0.3">
      <c r="A8" t="s">
        <v>10</v>
      </c>
      <c r="B8">
        <v>0.40111482543577809</v>
      </c>
      <c r="C8">
        <v>4.8929876554097876E-2</v>
      </c>
      <c r="J8" t="s">
        <v>39</v>
      </c>
      <c r="K8">
        <v>0.92529866666666682</v>
      </c>
      <c r="L8">
        <v>0.96138277088278323</v>
      </c>
    </row>
    <row r="9" spans="1:12" x14ac:dyDescent="0.3">
      <c r="J9" t="s">
        <v>58</v>
      </c>
      <c r="K9">
        <v>0.85816066666666679</v>
      </c>
      <c r="L9">
        <v>0.59536357304756682</v>
      </c>
    </row>
    <row r="10" spans="1:12" x14ac:dyDescent="0.3">
      <c r="J10" t="s">
        <v>13</v>
      </c>
      <c r="K10">
        <v>0.80146866666666661</v>
      </c>
      <c r="L10">
        <v>0.52411387363336071</v>
      </c>
    </row>
    <row r="11" spans="1:12" x14ac:dyDescent="0.3">
      <c r="J11" t="s">
        <v>27</v>
      </c>
      <c r="K11">
        <v>0.57662533333333332</v>
      </c>
      <c r="L11">
        <v>0.45949314137282499</v>
      </c>
    </row>
    <row r="12" spans="1:12" x14ac:dyDescent="0.3">
      <c r="J12" t="s">
        <v>10</v>
      </c>
      <c r="K12">
        <v>0.55190533333333336</v>
      </c>
      <c r="L12">
        <v>6.3405619923347242E-2</v>
      </c>
    </row>
    <row r="20" spans="1:12" x14ac:dyDescent="0.3">
      <c r="A20" s="59" t="s">
        <v>138</v>
      </c>
      <c r="B20" s="59"/>
      <c r="C20" s="59"/>
      <c r="D20" s="59"/>
      <c r="J20" s="2" t="s">
        <v>2</v>
      </c>
      <c r="K20" t="s">
        <v>90</v>
      </c>
      <c r="L20" t="s">
        <v>96</v>
      </c>
    </row>
    <row r="21" spans="1:12" x14ac:dyDescent="0.3">
      <c r="A21" t="s">
        <v>2</v>
      </c>
      <c r="B21" t="s">
        <v>88</v>
      </c>
      <c r="C21" t="s">
        <v>96</v>
      </c>
      <c r="J21" t="s">
        <v>39</v>
      </c>
      <c r="K21">
        <v>0.63535783347000752</v>
      </c>
      <c r="L21">
        <v>0.96138277088278323</v>
      </c>
    </row>
    <row r="22" spans="1:12" x14ac:dyDescent="0.3">
      <c r="A22" t="s">
        <v>39</v>
      </c>
      <c r="B22">
        <v>0.92529866666666682</v>
      </c>
      <c r="C22">
        <v>0.96138277088278323</v>
      </c>
      <c r="J22" t="s">
        <v>58</v>
      </c>
      <c r="K22">
        <v>0.56436852021064765</v>
      </c>
      <c r="L22">
        <v>0.59536357304756682</v>
      </c>
    </row>
    <row r="23" spans="1:12" x14ac:dyDescent="0.3">
      <c r="A23" t="s">
        <v>58</v>
      </c>
      <c r="B23">
        <v>0.85816066666666679</v>
      </c>
      <c r="C23">
        <v>0.59536357304756682</v>
      </c>
      <c r="J23" t="s">
        <v>13</v>
      </c>
      <c r="K23">
        <v>0.67231857156786445</v>
      </c>
      <c r="L23">
        <v>0.52411387363336071</v>
      </c>
    </row>
    <row r="24" spans="1:12" x14ac:dyDescent="0.3">
      <c r="A24" t="s">
        <v>13</v>
      </c>
      <c r="B24">
        <v>0.80146866666666661</v>
      </c>
      <c r="C24">
        <v>0.52411387363336071</v>
      </c>
      <c r="J24" t="s">
        <v>27</v>
      </c>
      <c r="K24">
        <v>0.23262859545135892</v>
      </c>
      <c r="L24">
        <v>0.45949314137282499</v>
      </c>
    </row>
    <row r="25" spans="1:12" x14ac:dyDescent="0.3">
      <c r="A25" t="s">
        <v>27</v>
      </c>
      <c r="B25">
        <v>0.57662533333333332</v>
      </c>
      <c r="C25">
        <v>0.45949314137282499</v>
      </c>
      <c r="J25" t="s">
        <v>10</v>
      </c>
      <c r="K25">
        <v>0.11133560061158436</v>
      </c>
      <c r="L25">
        <v>6.3405619923347242E-2</v>
      </c>
    </row>
    <row r="26" spans="1:12" x14ac:dyDescent="0.3">
      <c r="A26" t="s">
        <v>10</v>
      </c>
      <c r="B26">
        <v>0.55190533333333336</v>
      </c>
      <c r="C26">
        <v>4.8929876554097876E-2</v>
      </c>
    </row>
    <row r="38" spans="1:3" x14ac:dyDescent="0.3">
      <c r="A38" s="59" t="s">
        <v>116</v>
      </c>
      <c r="B38" s="59"/>
      <c r="C38" s="59"/>
    </row>
    <row r="39" spans="1:3" x14ac:dyDescent="0.3">
      <c r="A39" t="s">
        <v>2</v>
      </c>
      <c r="B39" t="s">
        <v>112</v>
      </c>
      <c r="C39" t="s">
        <v>96</v>
      </c>
    </row>
    <row r="40" spans="1:3" x14ac:dyDescent="0.3">
      <c r="A40" t="s">
        <v>39</v>
      </c>
      <c r="B40">
        <v>0.77908653294220587</v>
      </c>
      <c r="C40">
        <v>0.96138277088278323</v>
      </c>
    </row>
    <row r="41" spans="1:3" x14ac:dyDescent="0.3">
      <c r="A41" t="s">
        <v>58</v>
      </c>
      <c r="B41">
        <v>0.7634200333900012</v>
      </c>
      <c r="C41">
        <v>0.59536357304756682</v>
      </c>
    </row>
    <row r="42" spans="1:3" x14ac:dyDescent="0.3">
      <c r="A42" t="s">
        <v>13</v>
      </c>
      <c r="B42">
        <v>0.64331313504884891</v>
      </c>
      <c r="C42">
        <v>0.52411387363336071</v>
      </c>
    </row>
    <row r="43" spans="1:3" x14ac:dyDescent="0.3">
      <c r="A43" t="s">
        <v>27</v>
      </c>
      <c r="B43">
        <v>0.33673315226533856</v>
      </c>
      <c r="C43">
        <v>0.45949314137282499</v>
      </c>
    </row>
    <row r="44" spans="1:3" x14ac:dyDescent="0.3">
      <c r="A44" t="s">
        <v>10</v>
      </c>
      <c r="B44">
        <v>0.32720017067917362</v>
      </c>
      <c r="C44">
        <v>4.8929876554097876E-2</v>
      </c>
    </row>
    <row r="58" spans="1:3" x14ac:dyDescent="0.3">
      <c r="A58" s="59" t="s">
        <v>148</v>
      </c>
      <c r="B58" s="59"/>
      <c r="C58" s="59"/>
    </row>
    <row r="60" spans="1:3" x14ac:dyDescent="0.3">
      <c r="A60" t="s">
        <v>2</v>
      </c>
      <c r="B60" t="s">
        <v>90</v>
      </c>
      <c r="C60" t="s">
        <v>96</v>
      </c>
    </row>
    <row r="61" spans="1:3" x14ac:dyDescent="0.3">
      <c r="A61" t="s">
        <v>39</v>
      </c>
      <c r="B61">
        <v>0.63535783347000752</v>
      </c>
      <c r="C61">
        <v>0.96138277088278323</v>
      </c>
    </row>
    <row r="62" spans="1:3" x14ac:dyDescent="0.3">
      <c r="A62" t="s">
        <v>58</v>
      </c>
      <c r="B62">
        <v>0.56436852021064765</v>
      </c>
      <c r="C62">
        <v>0.59536357304756682</v>
      </c>
    </row>
    <row r="63" spans="1:3" x14ac:dyDescent="0.3">
      <c r="A63" t="s">
        <v>13</v>
      </c>
      <c r="B63">
        <v>0.67231857156786445</v>
      </c>
      <c r="C63">
        <v>0.52411387363336071</v>
      </c>
    </row>
    <row r="64" spans="1:3" x14ac:dyDescent="0.3">
      <c r="A64" t="s">
        <v>27</v>
      </c>
      <c r="B64">
        <v>0.23262859545135892</v>
      </c>
      <c r="C64">
        <v>0.45949314137282499</v>
      </c>
    </row>
    <row r="65" spans="1:7" x14ac:dyDescent="0.3">
      <c r="A65" t="s">
        <v>10</v>
      </c>
      <c r="B65">
        <v>0.11133560061158436</v>
      </c>
      <c r="C65">
        <v>6.3405619923347242E-2</v>
      </c>
    </row>
    <row r="69" spans="1:7" x14ac:dyDescent="0.3">
      <c r="B69" t="s">
        <v>117</v>
      </c>
    </row>
    <row r="70" spans="1:7" x14ac:dyDescent="0.3">
      <c r="B70" t="s">
        <v>114</v>
      </c>
    </row>
    <row r="71" spans="1:7" x14ac:dyDescent="0.3">
      <c r="B71" t="s">
        <v>113</v>
      </c>
    </row>
    <row r="72" spans="1:7" x14ac:dyDescent="0.3">
      <c r="B72" t="s">
        <v>128</v>
      </c>
    </row>
    <row r="73" spans="1:7" x14ac:dyDescent="0.3">
      <c r="B73" t="s">
        <v>129</v>
      </c>
    </row>
    <row r="74" spans="1:7" x14ac:dyDescent="0.3">
      <c r="B74" t="s">
        <v>130</v>
      </c>
    </row>
    <row r="76" spans="1:7" x14ac:dyDescent="0.3">
      <c r="B76" s="2" t="s">
        <v>2</v>
      </c>
      <c r="C76" t="s">
        <v>112</v>
      </c>
      <c r="D76" t="s">
        <v>96</v>
      </c>
      <c r="E76" t="s">
        <v>88</v>
      </c>
      <c r="F76" t="s">
        <v>89</v>
      </c>
      <c r="G76" t="s">
        <v>90</v>
      </c>
    </row>
    <row r="77" spans="1:7" x14ac:dyDescent="0.3">
      <c r="B77" t="s">
        <v>39</v>
      </c>
      <c r="C77">
        <v>0.76031289837934291</v>
      </c>
      <c r="D77">
        <v>0.96138277088278323</v>
      </c>
      <c r="E77">
        <v>0.92529866666666682</v>
      </c>
      <c r="F77">
        <v>0.71956197733965033</v>
      </c>
      <c r="G77">
        <v>0.63535783347000752</v>
      </c>
    </row>
    <row r="78" spans="1:7" x14ac:dyDescent="0.3">
      <c r="B78" t="s">
        <v>58</v>
      </c>
      <c r="C78">
        <v>0.76981899920854291</v>
      </c>
      <c r="D78">
        <v>0.59536357304756682</v>
      </c>
      <c r="E78">
        <v>0.85816066666666679</v>
      </c>
      <c r="F78">
        <v>0.7811435803941732</v>
      </c>
      <c r="G78">
        <v>0.56436852021064765</v>
      </c>
    </row>
    <row r="79" spans="1:7" x14ac:dyDescent="0.3">
      <c r="B79" t="s">
        <v>13</v>
      </c>
      <c r="C79">
        <v>0.656990709815788</v>
      </c>
      <c r="D79">
        <v>0.52411387363336071</v>
      </c>
      <c r="E79">
        <v>0.80146866666666661</v>
      </c>
      <c r="F79">
        <v>0.62023636726797782</v>
      </c>
      <c r="G79">
        <v>0.67231857156786445</v>
      </c>
    </row>
    <row r="80" spans="1:7" x14ac:dyDescent="0.3">
      <c r="B80" t="s">
        <v>27</v>
      </c>
      <c r="C80">
        <v>0.31797892428741809</v>
      </c>
      <c r="D80">
        <v>0.45949314137282499</v>
      </c>
      <c r="E80">
        <v>0.57662533333333332</v>
      </c>
      <c r="F80">
        <v>0.25607790052795187</v>
      </c>
      <c r="G80">
        <v>0.23262859545135892</v>
      </c>
    </row>
    <row r="81" spans="2:13" x14ac:dyDescent="0.3">
      <c r="B81" t="s">
        <v>10</v>
      </c>
      <c r="C81">
        <v>0.38276634803443621</v>
      </c>
      <c r="D81">
        <v>6.3405619923347242E-2</v>
      </c>
      <c r="E81">
        <v>0.55190533333333336</v>
      </c>
      <c r="F81">
        <v>0.39369679602195673</v>
      </c>
      <c r="G81">
        <v>0.11133560061158436</v>
      </c>
    </row>
    <row r="86" spans="2:13" x14ac:dyDescent="0.3">
      <c r="B86" s="2" t="s">
        <v>112</v>
      </c>
      <c r="C86" s="2" t="s">
        <v>3</v>
      </c>
      <c r="M86" s="5"/>
    </row>
    <row r="87" spans="2:13" x14ac:dyDescent="0.3">
      <c r="B87" s="2" t="s">
        <v>2</v>
      </c>
      <c r="C87">
        <v>2015</v>
      </c>
      <c r="D87">
        <v>2016</v>
      </c>
      <c r="E87">
        <v>2017</v>
      </c>
      <c r="F87">
        <v>2018</v>
      </c>
      <c r="G87">
        <v>2019</v>
      </c>
      <c r="H87">
        <v>2020</v>
      </c>
      <c r="I87">
        <v>2021</v>
      </c>
      <c r="J87">
        <v>2022</v>
      </c>
      <c r="K87">
        <v>2023</v>
      </c>
      <c r="L87">
        <v>2024</v>
      </c>
      <c r="M87" s="5" t="s">
        <v>93</v>
      </c>
    </row>
    <row r="88" spans="2:13" x14ac:dyDescent="0.3">
      <c r="B88" t="s">
        <v>39</v>
      </c>
      <c r="C88">
        <v>0.83328053612667397</v>
      </c>
      <c r="D88">
        <v>0.88460321558323551</v>
      </c>
      <c r="E88">
        <v>0.72855010528395581</v>
      </c>
      <c r="F88">
        <v>0.85138911416851593</v>
      </c>
      <c r="G88">
        <v>0.57618978344839666</v>
      </c>
      <c r="H88">
        <v>0.75330579090862093</v>
      </c>
      <c r="I88">
        <v>0.63100639959571958</v>
      </c>
      <c r="J88">
        <v>0.794053341846095</v>
      </c>
      <c r="K88">
        <v>0.70395887434193438</v>
      </c>
      <c r="L88">
        <v>0.84679182249028095</v>
      </c>
      <c r="M88">
        <f>AVERAGE(I88:L88)-AVERAGE(C88:F88)</f>
        <v>-8.0503133222087686E-2</v>
      </c>
    </row>
    <row r="89" spans="2:13" x14ac:dyDescent="0.3">
      <c r="B89" t="s">
        <v>58</v>
      </c>
      <c r="C89">
        <v>0.67705505452777937</v>
      </c>
      <c r="D89">
        <v>0.72841836592348563</v>
      </c>
      <c r="E89">
        <v>0.7273825896380367</v>
      </c>
      <c r="F89">
        <v>0.81127084121930171</v>
      </c>
      <c r="G89">
        <v>0.59675259273086712</v>
      </c>
      <c r="H89">
        <v>0.79541618043991147</v>
      </c>
      <c r="I89">
        <v>0.65531353101335021</v>
      </c>
      <c r="J89">
        <v>0.85944603861130819</v>
      </c>
      <c r="K89">
        <v>0.89159615921585211</v>
      </c>
      <c r="L89">
        <v>0.95553863876553746</v>
      </c>
      <c r="M89">
        <f t="shared" ref="M89:M92" si="0">AVERAGE(I89:L89)-AVERAGE(C89:F89)</f>
        <v>0.10444187907436109</v>
      </c>
    </row>
    <row r="90" spans="2:13" x14ac:dyDescent="0.3">
      <c r="B90" t="s">
        <v>13</v>
      </c>
      <c r="C90">
        <v>0.61190944674947856</v>
      </c>
      <c r="D90">
        <v>0.66988514128281329</v>
      </c>
      <c r="E90">
        <v>0.53836977396533259</v>
      </c>
      <c r="F90">
        <v>0.70921554281691179</v>
      </c>
      <c r="G90">
        <v>0.50821065820494249</v>
      </c>
      <c r="H90">
        <v>0.66849177020628026</v>
      </c>
      <c r="I90">
        <v>0.65461139042283412</v>
      </c>
      <c r="J90">
        <v>0.7072860530410392</v>
      </c>
      <c r="K90">
        <v>0.6474793460564412</v>
      </c>
      <c r="L90">
        <v>0.85444797541180673</v>
      </c>
      <c r="M90">
        <f t="shared" si="0"/>
        <v>8.361121502939628E-2</v>
      </c>
    </row>
    <row r="91" spans="2:13" x14ac:dyDescent="0.3">
      <c r="B91" t="s">
        <v>27</v>
      </c>
      <c r="C91">
        <v>7.1035103721290654E-2</v>
      </c>
      <c r="D91">
        <v>0.27082355933017044</v>
      </c>
      <c r="E91">
        <v>4.6304806255642837E-2</v>
      </c>
      <c r="F91">
        <v>0.45810224274938727</v>
      </c>
      <c r="G91">
        <v>0.26480192894037091</v>
      </c>
      <c r="H91">
        <v>0.42808202305940379</v>
      </c>
      <c r="I91">
        <v>0.23776151374314108</v>
      </c>
      <c r="J91">
        <v>0.46381938791034788</v>
      </c>
      <c r="K91">
        <v>0.41050433597543207</v>
      </c>
      <c r="L91">
        <v>0.52855434118899391</v>
      </c>
      <c r="M91">
        <f t="shared" si="0"/>
        <v>0.19859346669035594</v>
      </c>
    </row>
    <row r="92" spans="2:13" x14ac:dyDescent="0.3">
      <c r="B92" t="s">
        <v>10</v>
      </c>
      <c r="C92">
        <v>0.39615535655501877</v>
      </c>
      <c r="D92">
        <v>0.46557586301902387</v>
      </c>
      <c r="E92">
        <v>0.2764625151004832</v>
      </c>
      <c r="F92">
        <v>0.45568196926914778</v>
      </c>
      <c r="G92">
        <v>0.30304255632585003</v>
      </c>
      <c r="H92">
        <v>0.44075004835560944</v>
      </c>
      <c r="I92">
        <v>0.17817571320261452</v>
      </c>
      <c r="J92">
        <v>0.47253634351323304</v>
      </c>
      <c r="K92">
        <v>0.38245536704512506</v>
      </c>
      <c r="L92">
        <v>0.45682774795825648</v>
      </c>
      <c r="M92">
        <f t="shared" si="0"/>
        <v>-2.5970133056111122E-2</v>
      </c>
    </row>
    <row r="96" spans="2:13" x14ac:dyDescent="0.3">
      <c r="B96" s="2" t="s">
        <v>96</v>
      </c>
      <c r="C96" s="2" t="s">
        <v>3</v>
      </c>
      <c r="M96" s="5"/>
    </row>
    <row r="97" spans="2:13" x14ac:dyDescent="0.3">
      <c r="B97" s="2" t="s">
        <v>2</v>
      </c>
      <c r="C97">
        <v>2015</v>
      </c>
      <c r="D97">
        <v>2016</v>
      </c>
      <c r="E97">
        <v>2017</v>
      </c>
      <c r="F97">
        <v>2018</v>
      </c>
      <c r="G97">
        <v>2019</v>
      </c>
      <c r="H97">
        <v>2020</v>
      </c>
      <c r="I97">
        <v>2021</v>
      </c>
      <c r="J97">
        <v>2022</v>
      </c>
      <c r="K97">
        <v>2023</v>
      </c>
      <c r="L97">
        <v>2024</v>
      </c>
      <c r="M97" s="5" t="s">
        <v>135</v>
      </c>
    </row>
    <row r="98" spans="2:13" x14ac:dyDescent="0.3">
      <c r="B98" t="s">
        <v>39</v>
      </c>
      <c r="E98">
        <v>0.97651417755760028</v>
      </c>
      <c r="I98">
        <v>0.94625136420796618</v>
      </c>
      <c r="M98">
        <f>I98-E98</f>
        <v>-3.0262813349634099E-2</v>
      </c>
    </row>
    <row r="99" spans="2:13" x14ac:dyDescent="0.3">
      <c r="B99" t="s">
        <v>58</v>
      </c>
      <c r="E99">
        <v>0.69352778827828487</v>
      </c>
      <c r="I99">
        <v>0.49719935781684887</v>
      </c>
      <c r="M99">
        <f>I99-E99</f>
        <v>-0.196328430461436</v>
      </c>
    </row>
    <row r="100" spans="2:13" x14ac:dyDescent="0.3">
      <c r="B100" t="s">
        <v>13</v>
      </c>
      <c r="E100">
        <v>0.41077560303477711</v>
      </c>
      <c r="I100">
        <v>0.56615914602037831</v>
      </c>
      <c r="L100">
        <v>0.59540687184492658</v>
      </c>
      <c r="M100">
        <f>L100-E100</f>
        <v>0.18463126881014946</v>
      </c>
    </row>
    <row r="101" spans="2:13" x14ac:dyDescent="0.3">
      <c r="B101" t="s">
        <v>27</v>
      </c>
      <c r="E101">
        <v>0.43294951917008317</v>
      </c>
      <c r="I101">
        <v>0.40404786938706871</v>
      </c>
      <c r="L101">
        <v>0.54148203556132302</v>
      </c>
      <c r="M101">
        <f>L101-E101</f>
        <v>0.10853251639123984</v>
      </c>
    </row>
    <row r="102" spans="2:13" x14ac:dyDescent="0.3">
      <c r="B102" t="s">
        <v>10</v>
      </c>
      <c r="E102">
        <v>5.4432523000447652E-2</v>
      </c>
      <c r="I102">
        <v>0</v>
      </c>
      <c r="L102">
        <v>0.13578433676959406</v>
      </c>
      <c r="M102">
        <f>L102-E102</f>
        <v>8.1351813769146408E-2</v>
      </c>
    </row>
    <row r="104" spans="2:13" x14ac:dyDescent="0.3">
      <c r="M104">
        <f>L102-E102</f>
        <v>8.1351813769146408E-2</v>
      </c>
    </row>
  </sheetData>
  <mergeCells count="4">
    <mergeCell ref="A2:E2"/>
    <mergeCell ref="A20:D20"/>
    <mergeCell ref="A38:C38"/>
    <mergeCell ref="A58:C58"/>
  </mergeCells>
  <pageMargins left="0.7" right="0.7" top="0.75" bottom="0.75" header="0.3" footer="0.3"/>
  <pageSetup orientation="portrait" horizontalDpi="4294967294" verticalDpi="4294967294" r:id="rId6"/>
  <drawing r:id="rId7"/>
  <tableParts count="4">
    <tablePart r:id="rId8"/>
    <tablePart r:id="rId9"/>
    <tablePart r:id="rId10"/>
    <tablePart r:id="rId1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7D58-9B5E-4198-A4CF-ABA84E618784}">
  <sheetPr>
    <tabColor rgb="FF00B050"/>
  </sheetPr>
  <dimension ref="A5:M96"/>
  <sheetViews>
    <sheetView topLeftCell="A75" workbookViewId="0">
      <selection activeCell="F101" sqref="F101"/>
    </sheetView>
  </sheetViews>
  <sheetFormatPr defaultRowHeight="14.4" x14ac:dyDescent="0.3"/>
  <cols>
    <col min="1" max="1" width="18.44140625" bestFit="1" customWidth="1"/>
    <col min="2" max="2" width="21.77734375" bestFit="1" customWidth="1"/>
    <col min="3" max="3" width="18.109375" bestFit="1" customWidth="1"/>
    <col min="4" max="4" width="21.5546875" bestFit="1" customWidth="1"/>
    <col min="5" max="5" width="23.5546875" bestFit="1" customWidth="1"/>
    <col min="6" max="6" width="31" bestFit="1" customWidth="1"/>
    <col min="7" max="11" width="12" bestFit="1" customWidth="1"/>
    <col min="12" max="12" width="25.109375" bestFit="1" customWidth="1"/>
    <col min="13" max="13" width="22.33203125" bestFit="1" customWidth="1"/>
    <col min="14" max="14" width="31.33203125" bestFit="1" customWidth="1"/>
    <col min="15" max="15" width="26.5546875" bestFit="1" customWidth="1"/>
    <col min="16" max="16" width="36.109375" bestFit="1" customWidth="1"/>
    <col min="17" max="17" width="21" bestFit="1" customWidth="1"/>
    <col min="18" max="18" width="22.33203125" bestFit="1" customWidth="1"/>
    <col min="19" max="19" width="31.33203125" bestFit="1" customWidth="1"/>
    <col min="20" max="20" width="26.5546875" bestFit="1" customWidth="1"/>
    <col min="21" max="21" width="36.109375" bestFit="1" customWidth="1"/>
    <col min="22" max="22" width="21" bestFit="1" customWidth="1"/>
    <col min="23" max="23" width="22.33203125" bestFit="1" customWidth="1"/>
    <col min="24" max="24" width="31.33203125" bestFit="1" customWidth="1"/>
    <col min="25" max="25" width="26.5546875" bestFit="1" customWidth="1"/>
    <col min="26" max="26" width="36.109375" bestFit="1" customWidth="1"/>
    <col min="27" max="27" width="21" bestFit="1" customWidth="1"/>
    <col min="28" max="28" width="22.33203125" bestFit="1" customWidth="1"/>
    <col min="29" max="29" width="31.33203125" bestFit="1" customWidth="1"/>
    <col min="30" max="30" width="26.5546875" bestFit="1" customWidth="1"/>
    <col min="31" max="31" width="36.109375" bestFit="1" customWidth="1"/>
    <col min="32" max="32" width="21" bestFit="1" customWidth="1"/>
    <col min="33" max="33" width="22.33203125" bestFit="1" customWidth="1"/>
    <col min="34" max="34" width="31.33203125" bestFit="1" customWidth="1"/>
    <col min="35" max="35" width="26.5546875" bestFit="1" customWidth="1"/>
    <col min="36" max="36" width="36.109375" bestFit="1" customWidth="1"/>
    <col min="37" max="37" width="21" bestFit="1" customWidth="1"/>
    <col min="38" max="38" width="22.33203125" bestFit="1" customWidth="1"/>
    <col min="39" max="39" width="31.33203125" bestFit="1" customWidth="1"/>
    <col min="40" max="40" width="26.5546875" bestFit="1" customWidth="1"/>
    <col min="41" max="41" width="36.109375" bestFit="1" customWidth="1"/>
    <col min="42" max="42" width="21" bestFit="1" customWidth="1"/>
    <col min="43" max="43" width="22.33203125" bestFit="1" customWidth="1"/>
    <col min="44" max="44" width="31.33203125" bestFit="1" customWidth="1"/>
    <col min="45" max="45" width="26.5546875" bestFit="1" customWidth="1"/>
    <col min="46" max="46" width="36.109375" bestFit="1" customWidth="1"/>
    <col min="47" max="47" width="21" bestFit="1" customWidth="1"/>
    <col min="48" max="48" width="22.33203125" bestFit="1" customWidth="1"/>
    <col min="49" max="49" width="31.33203125" bestFit="1" customWidth="1"/>
    <col min="50" max="50" width="26.5546875" bestFit="1" customWidth="1"/>
  </cols>
  <sheetData>
    <row r="5" spans="1:7" x14ac:dyDescent="0.3">
      <c r="A5" s="59" t="s">
        <v>141</v>
      </c>
      <c r="B5" s="59"/>
      <c r="C5" s="59"/>
      <c r="D5" s="59"/>
      <c r="E5" s="59"/>
      <c r="F5" s="59"/>
      <c r="G5" s="59"/>
    </row>
    <row r="6" spans="1:7" x14ac:dyDescent="0.3">
      <c r="A6" s="3"/>
      <c r="B6" s="3"/>
      <c r="C6" s="3"/>
      <c r="D6" s="3"/>
      <c r="E6" s="3"/>
      <c r="F6" s="3"/>
      <c r="G6" s="3"/>
    </row>
    <row r="7" spans="1:7" x14ac:dyDescent="0.3">
      <c r="A7" s="23" t="s">
        <v>92</v>
      </c>
      <c r="B7" s="3"/>
      <c r="C7" s="3"/>
      <c r="D7" s="3"/>
      <c r="E7" s="3"/>
      <c r="F7" s="3"/>
      <c r="G7" s="3"/>
    </row>
    <row r="8" spans="1:7" x14ac:dyDescent="0.3">
      <c r="A8" s="3" t="s">
        <v>128</v>
      </c>
      <c r="B8" s="3"/>
      <c r="C8" s="3"/>
      <c r="D8" s="3"/>
      <c r="E8" s="3"/>
      <c r="F8" s="3"/>
      <c r="G8" s="3"/>
    </row>
    <row r="9" spans="1:7" x14ac:dyDescent="0.3">
      <c r="A9" s="3" t="s">
        <v>136</v>
      </c>
      <c r="B9" s="3"/>
      <c r="C9" s="3"/>
      <c r="D9" s="3"/>
      <c r="E9" s="3"/>
      <c r="F9" s="3"/>
      <c r="G9" s="3"/>
    </row>
    <row r="10" spans="1:7" x14ac:dyDescent="0.3">
      <c r="A10" s="3" t="s">
        <v>142</v>
      </c>
      <c r="B10" s="3"/>
      <c r="C10" s="3"/>
      <c r="D10" s="3"/>
      <c r="E10" s="3"/>
      <c r="F10" s="3"/>
      <c r="G10" s="3"/>
    </row>
    <row r="11" spans="1:7" x14ac:dyDescent="0.3">
      <c r="A11" s="3" t="s">
        <v>143</v>
      </c>
      <c r="B11" s="3"/>
      <c r="C11" s="3"/>
      <c r="D11" s="3"/>
      <c r="E11" s="3"/>
      <c r="F11" s="3"/>
      <c r="G11" s="3"/>
    </row>
    <row r="12" spans="1:7" x14ac:dyDescent="0.3">
      <c r="A12" s="3" t="s">
        <v>144</v>
      </c>
      <c r="B12" s="3"/>
      <c r="C12" s="3"/>
      <c r="D12" s="3"/>
      <c r="E12" s="3"/>
      <c r="F12" s="3"/>
      <c r="G12" s="3"/>
    </row>
    <row r="15" spans="1:7" x14ac:dyDescent="0.3">
      <c r="A15" s="59" t="s">
        <v>149</v>
      </c>
      <c r="B15" s="59"/>
      <c r="C15" s="59"/>
    </row>
    <row r="17" spans="1:13" x14ac:dyDescent="0.3">
      <c r="A17" s="2" t="s">
        <v>112</v>
      </c>
      <c r="B17" s="2" t="s">
        <v>3</v>
      </c>
      <c r="L17" s="5"/>
    </row>
    <row r="18" spans="1:13" x14ac:dyDescent="0.3">
      <c r="A18" s="2" t="s">
        <v>2</v>
      </c>
      <c r="B18">
        <v>2015</v>
      </c>
      <c r="C18">
        <v>2016</v>
      </c>
      <c r="D18">
        <v>2017</v>
      </c>
      <c r="E18">
        <v>2018</v>
      </c>
      <c r="F18">
        <v>2019</v>
      </c>
      <c r="G18">
        <v>2020</v>
      </c>
      <c r="H18">
        <v>2021</v>
      </c>
      <c r="I18">
        <v>2022</v>
      </c>
      <c r="J18">
        <v>2023</v>
      </c>
      <c r="K18">
        <v>2024</v>
      </c>
      <c r="L18" s="5" t="s">
        <v>154</v>
      </c>
    </row>
    <row r="19" spans="1:13" x14ac:dyDescent="0.3">
      <c r="A19" t="s">
        <v>39</v>
      </c>
      <c r="B19">
        <v>0.83328053612667397</v>
      </c>
      <c r="C19">
        <v>0.88460321558323551</v>
      </c>
      <c r="D19">
        <v>0.72855010528395581</v>
      </c>
      <c r="E19">
        <v>0.85138911416851593</v>
      </c>
      <c r="F19">
        <v>0.57618978344839666</v>
      </c>
      <c r="G19">
        <v>0.75330579090862093</v>
      </c>
      <c r="H19">
        <v>0.63100639959571958</v>
      </c>
      <c r="I19">
        <v>0.794053341846095</v>
      </c>
      <c r="J19">
        <v>0.70395887434193438</v>
      </c>
      <c r="K19">
        <v>0.84679182249028095</v>
      </c>
      <c r="L19">
        <f>(AVERAGE(H19:K19) - AVERAGE(B19:E19)) / AVERAGE(B19:E19) * 100</f>
        <v>-9.7643971706234822</v>
      </c>
      <c r="M19" s="27"/>
    </row>
    <row r="20" spans="1:13" x14ac:dyDescent="0.3">
      <c r="A20" t="s">
        <v>58</v>
      </c>
      <c r="B20">
        <v>0.67705505452777937</v>
      </c>
      <c r="C20">
        <v>0.72841836592348563</v>
      </c>
      <c r="D20">
        <v>0.7273825896380367</v>
      </c>
      <c r="E20">
        <v>0.81127084121930171</v>
      </c>
      <c r="F20">
        <v>0.59675259273086712</v>
      </c>
      <c r="G20">
        <v>0.79541618043991147</v>
      </c>
      <c r="H20">
        <v>0.65531353101335021</v>
      </c>
      <c r="I20">
        <v>0.85944603861130819</v>
      </c>
      <c r="J20">
        <v>0.89159615921585211</v>
      </c>
      <c r="K20">
        <v>0.95553863876553746</v>
      </c>
      <c r="L20">
        <f t="shared" ref="L20:L23" si="0">(AVERAGE(H20:K20) - AVERAGE(B20:E20)) / AVERAGE(B20:E20) * 100</f>
        <v>14.18986128643728</v>
      </c>
      <c r="M20" s="27"/>
    </row>
    <row r="21" spans="1:13" x14ac:dyDescent="0.3">
      <c r="A21" t="s">
        <v>13</v>
      </c>
      <c r="B21">
        <v>0.61190944674947856</v>
      </c>
      <c r="C21">
        <v>0.66988514128281329</v>
      </c>
      <c r="D21">
        <v>0.53836977396533259</v>
      </c>
      <c r="E21">
        <v>0.70921554281691179</v>
      </c>
      <c r="F21">
        <v>0.50821065820494249</v>
      </c>
      <c r="G21">
        <v>0.66849177020628026</v>
      </c>
      <c r="H21">
        <v>0.65461139042283412</v>
      </c>
      <c r="I21">
        <v>0.7072860530410392</v>
      </c>
      <c r="J21">
        <v>0.6474793460564412</v>
      </c>
      <c r="K21">
        <v>0.85444797541180673</v>
      </c>
      <c r="L21">
        <f t="shared" si="0"/>
        <v>13.222405202199466</v>
      </c>
      <c r="M21" s="27"/>
    </row>
    <row r="22" spans="1:13" x14ac:dyDescent="0.3">
      <c r="A22" t="s">
        <v>27</v>
      </c>
      <c r="B22">
        <v>7.1035103721290654E-2</v>
      </c>
      <c r="C22">
        <v>0.27082355933017044</v>
      </c>
      <c r="D22">
        <v>4.6304806255642837E-2</v>
      </c>
      <c r="E22">
        <v>0.45810224274938727</v>
      </c>
      <c r="F22">
        <v>0.26480192894037091</v>
      </c>
      <c r="G22">
        <v>0.42808202305940379</v>
      </c>
      <c r="H22">
        <v>0.23776151374314108</v>
      </c>
      <c r="I22">
        <v>0.46381938791034788</v>
      </c>
      <c r="J22">
        <v>0.41050433597543207</v>
      </c>
      <c r="K22">
        <v>0.52855434118899391</v>
      </c>
      <c r="L22">
        <f t="shared" si="0"/>
        <v>93.8681380379968</v>
      </c>
      <c r="M22" s="27"/>
    </row>
    <row r="23" spans="1:13" x14ac:dyDescent="0.3">
      <c r="A23" t="s">
        <v>10</v>
      </c>
      <c r="B23">
        <v>0.39615535655501877</v>
      </c>
      <c r="C23">
        <v>0.46557586301902387</v>
      </c>
      <c r="D23">
        <v>0.2764625151004832</v>
      </c>
      <c r="E23">
        <v>0.45568196926914778</v>
      </c>
      <c r="F23">
        <v>0.30304255632585003</v>
      </c>
      <c r="G23">
        <v>0.44075004835560944</v>
      </c>
      <c r="H23">
        <v>0.17817571320261452</v>
      </c>
      <c r="I23">
        <v>0.47253634351323304</v>
      </c>
      <c r="J23">
        <v>0.38245536704512506</v>
      </c>
      <c r="K23">
        <v>0.45682774795825648</v>
      </c>
      <c r="L23">
        <f t="shared" si="0"/>
        <v>-6.5174801251701329</v>
      </c>
      <c r="M23" s="27"/>
    </row>
    <row r="26" spans="1:13" x14ac:dyDescent="0.3">
      <c r="A26" s="3" t="s">
        <v>150</v>
      </c>
    </row>
    <row r="27" spans="1:13" x14ac:dyDescent="0.3">
      <c r="A27" s="2" t="s">
        <v>96</v>
      </c>
      <c r="B27" s="2" t="s">
        <v>3</v>
      </c>
      <c r="L27" s="5"/>
    </row>
    <row r="28" spans="1:13" x14ac:dyDescent="0.3">
      <c r="A28" s="2" t="s">
        <v>2</v>
      </c>
      <c r="B28">
        <v>2015</v>
      </c>
      <c r="C28">
        <v>2016</v>
      </c>
      <c r="D28">
        <v>2017</v>
      </c>
      <c r="E28">
        <v>2018</v>
      </c>
      <c r="F28">
        <v>2019</v>
      </c>
      <c r="G28">
        <v>2020</v>
      </c>
      <c r="H28">
        <v>2021</v>
      </c>
      <c r="I28">
        <v>2022</v>
      </c>
      <c r="J28">
        <v>2023</v>
      </c>
      <c r="K28">
        <v>2024</v>
      </c>
      <c r="L28" s="5" t="s">
        <v>161</v>
      </c>
    </row>
    <row r="29" spans="1:13" x14ac:dyDescent="0.3">
      <c r="A29" t="s">
        <v>39</v>
      </c>
      <c r="D29">
        <v>0.97651417755760028</v>
      </c>
      <c r="H29">
        <v>0.94625136420796618</v>
      </c>
      <c r="L29">
        <f>IF(OR(ISBLANK(K29), K29 = 0), H29-D29, K29-D29) / D29 * 100</f>
        <v>-3.0990654355193969</v>
      </c>
    </row>
    <row r="30" spans="1:13" x14ac:dyDescent="0.3">
      <c r="A30" t="s">
        <v>58</v>
      </c>
      <c r="D30">
        <v>0.69352778827828487</v>
      </c>
      <c r="H30">
        <v>0.49719935781684887</v>
      </c>
      <c r="L30">
        <f t="shared" ref="L30:L33" si="1">IF(OR(ISBLANK(K30), K30 = 0), H30-D30, K30-D30) / D30 * 100</f>
        <v>-28.308660990907153</v>
      </c>
    </row>
    <row r="31" spans="1:13" x14ac:dyDescent="0.3">
      <c r="A31" t="s">
        <v>13</v>
      </c>
      <c r="D31">
        <v>0.41077560303477711</v>
      </c>
      <c r="H31">
        <v>0.56615914602037831</v>
      </c>
      <c r="K31">
        <v>0.59540687184492658</v>
      </c>
      <c r="L31">
        <f t="shared" si="1"/>
        <v>44.946989900595</v>
      </c>
    </row>
    <row r="32" spans="1:13" x14ac:dyDescent="0.3">
      <c r="A32" t="s">
        <v>27</v>
      </c>
      <c r="D32">
        <v>0.43294951917008317</v>
      </c>
      <c r="H32">
        <v>0.40404786938706871</v>
      </c>
      <c r="K32">
        <v>0.54148203556132302</v>
      </c>
      <c r="L32">
        <f t="shared" si="1"/>
        <v>25.068168824689952</v>
      </c>
    </row>
    <row r="33" spans="1:12" x14ac:dyDescent="0.3">
      <c r="A33" t="s">
        <v>10</v>
      </c>
      <c r="D33">
        <v>5.4432523000447652E-2</v>
      </c>
      <c r="H33">
        <v>0</v>
      </c>
      <c r="K33">
        <v>0.13578433676959406</v>
      </c>
      <c r="L33">
        <f t="shared" si="1"/>
        <v>149.45442409215053</v>
      </c>
    </row>
    <row r="36" spans="1:12" x14ac:dyDescent="0.3">
      <c r="A36" s="3" t="s">
        <v>151</v>
      </c>
    </row>
    <row r="37" spans="1:12" x14ac:dyDescent="0.3">
      <c r="A37" s="2" t="s">
        <v>88</v>
      </c>
      <c r="B37" s="2" t="s">
        <v>3</v>
      </c>
      <c r="L37" s="5"/>
    </row>
    <row r="38" spans="1:12" x14ac:dyDescent="0.3">
      <c r="A38" s="2" t="s">
        <v>2</v>
      </c>
      <c r="B38">
        <v>2015</v>
      </c>
      <c r="C38">
        <v>2016</v>
      </c>
      <c r="D38">
        <v>2017</v>
      </c>
      <c r="E38">
        <v>2018</v>
      </c>
      <c r="F38">
        <v>2019</v>
      </c>
      <c r="G38">
        <v>2020</v>
      </c>
      <c r="H38">
        <v>2021</v>
      </c>
      <c r="I38">
        <v>2022</v>
      </c>
      <c r="J38">
        <v>2023</v>
      </c>
      <c r="K38">
        <v>2024</v>
      </c>
      <c r="L38" s="5" t="s">
        <v>155</v>
      </c>
    </row>
    <row r="39" spans="1:12" x14ac:dyDescent="0.3">
      <c r="A39" t="s">
        <v>39</v>
      </c>
      <c r="C39">
        <v>0.91927999999999999</v>
      </c>
      <c r="E39">
        <v>0.89986666666666659</v>
      </c>
      <c r="G39">
        <v>0.93583333333333341</v>
      </c>
      <c r="I39">
        <v>0.91380000000000006</v>
      </c>
      <c r="K39">
        <v>0.95771333333333342</v>
      </c>
      <c r="L39">
        <f>(AVERAGE(K39,I39) - AVERAGE(E39,C39)) / AVERAGE(E39,C39) * 100</f>
        <v>2.878639068867467</v>
      </c>
    </row>
    <row r="40" spans="1:12" x14ac:dyDescent="0.3">
      <c r="A40" t="s">
        <v>58</v>
      </c>
      <c r="C40">
        <v>0.75152999999999992</v>
      </c>
      <c r="E40">
        <v>0.82950000000000002</v>
      </c>
      <c r="G40">
        <v>0.8554666666666666</v>
      </c>
      <c r="I40">
        <v>0.90103333333333335</v>
      </c>
      <c r="K40">
        <v>0.95327333333333331</v>
      </c>
      <c r="L40">
        <f t="shared" ref="L40:L43" si="2">(AVERAGE(K40,I40) - AVERAGE(E40,C40)) / AVERAGE(E40,C40) * 100</f>
        <v>17.284723671699247</v>
      </c>
    </row>
    <row r="41" spans="1:12" x14ac:dyDescent="0.3">
      <c r="A41" t="s">
        <v>13</v>
      </c>
      <c r="C41">
        <v>0.68223666666666671</v>
      </c>
      <c r="E41">
        <v>0.71189999999999998</v>
      </c>
      <c r="G41">
        <v>0.79906666666666659</v>
      </c>
      <c r="I41">
        <v>0.85389999999999999</v>
      </c>
      <c r="K41">
        <v>0.96024000000000009</v>
      </c>
      <c r="L41">
        <f t="shared" si="2"/>
        <v>30.126410371054003</v>
      </c>
    </row>
    <row r="42" spans="1:12" x14ac:dyDescent="0.3">
      <c r="A42" t="s">
        <v>27</v>
      </c>
      <c r="C42">
        <v>0.46374999999999994</v>
      </c>
      <c r="E42">
        <v>0.56690000000000007</v>
      </c>
      <c r="G42">
        <v>0.59639999999999993</v>
      </c>
      <c r="I42">
        <v>0.58829999999999993</v>
      </c>
      <c r="K42">
        <v>0.66777666666666669</v>
      </c>
      <c r="L42">
        <f t="shared" si="2"/>
        <v>21.872281246462567</v>
      </c>
    </row>
    <row r="43" spans="1:12" x14ac:dyDescent="0.3">
      <c r="A43" t="s">
        <v>10</v>
      </c>
      <c r="C43">
        <v>0.45940999999999993</v>
      </c>
      <c r="E43">
        <v>0.48803333333333332</v>
      </c>
      <c r="G43">
        <v>0.55269999999999997</v>
      </c>
      <c r="I43">
        <v>0.58946666666666669</v>
      </c>
      <c r="K43">
        <v>0.6699166666666666</v>
      </c>
      <c r="L43">
        <f t="shared" si="2"/>
        <v>32.924396533829658</v>
      </c>
    </row>
    <row r="47" spans="1:12" x14ac:dyDescent="0.3">
      <c r="A47" s="3" t="s">
        <v>152</v>
      </c>
    </row>
    <row r="48" spans="1:12" x14ac:dyDescent="0.3">
      <c r="A48" s="2" t="s">
        <v>90</v>
      </c>
      <c r="B48" s="2" t="s">
        <v>3</v>
      </c>
      <c r="L48" s="5"/>
    </row>
    <row r="49" spans="1:13" x14ac:dyDescent="0.3">
      <c r="A49" s="2" t="s">
        <v>2</v>
      </c>
      <c r="B49">
        <v>2015</v>
      </c>
      <c r="C49">
        <v>2016</v>
      </c>
      <c r="D49">
        <v>2017</v>
      </c>
      <c r="E49">
        <v>2018</v>
      </c>
      <c r="F49">
        <v>2019</v>
      </c>
      <c r="G49">
        <v>2020</v>
      </c>
      <c r="H49">
        <v>2021</v>
      </c>
      <c r="I49">
        <v>2022</v>
      </c>
      <c r="J49">
        <v>2023</v>
      </c>
      <c r="K49">
        <v>2024</v>
      </c>
      <c r="L49" s="5" t="s">
        <v>163</v>
      </c>
    </row>
    <row r="50" spans="1:13" x14ac:dyDescent="0.3">
      <c r="A50" t="s">
        <v>39</v>
      </c>
      <c r="D50">
        <v>0.65162195007282275</v>
      </c>
      <c r="H50">
        <v>0.61909371686719228</v>
      </c>
      <c r="L50">
        <f>IF(OR(ISBLANK(K50), K50 = 0), H50-D50, K50-D50)  /  D50 * 100</f>
        <v>-4.9918872748217344</v>
      </c>
    </row>
    <row r="51" spans="1:13" x14ac:dyDescent="0.3">
      <c r="A51" t="s">
        <v>58</v>
      </c>
      <c r="D51">
        <v>0.67466197065130418</v>
      </c>
      <c r="H51">
        <v>0.45407506976999107</v>
      </c>
      <c r="L51">
        <f t="shared" ref="L51:L54" si="3">IF(OR(ISBLANK(K51), K51 = 0), H51-D51, K51-D51)  /  D51 * 100</f>
        <v>-32.695914469339847</v>
      </c>
    </row>
    <row r="52" spans="1:13" x14ac:dyDescent="0.3">
      <c r="A52" t="s">
        <v>13</v>
      </c>
      <c r="D52">
        <v>0.41498030331004354</v>
      </c>
      <c r="H52">
        <v>0.75041190041764538</v>
      </c>
      <c r="K52">
        <v>0.85156351097590477</v>
      </c>
      <c r="L52">
        <f t="shared" si="3"/>
        <v>105.20576619745674</v>
      </c>
      <c r="M52" s="27"/>
    </row>
    <row r="53" spans="1:13" x14ac:dyDescent="0.3">
      <c r="A53" t="s">
        <v>27</v>
      </c>
      <c r="D53">
        <v>3.9786186144369205E-2</v>
      </c>
      <c r="H53">
        <v>0.17220947435042966</v>
      </c>
      <c r="K53">
        <v>0.48589012585927788</v>
      </c>
      <c r="L53">
        <f t="shared" si="3"/>
        <v>1121.2533367640824</v>
      </c>
    </row>
    <row r="54" spans="1:13" x14ac:dyDescent="0.3">
      <c r="A54" t="s">
        <v>10</v>
      </c>
      <c r="D54">
        <v>1.6683175337813053E-2</v>
      </c>
      <c r="H54">
        <v>1.6183336258612589E-2</v>
      </c>
      <c r="K54">
        <v>0.30114029023832745</v>
      </c>
      <c r="L54">
        <f t="shared" si="3"/>
        <v>1705.0537990557559</v>
      </c>
    </row>
    <row r="58" spans="1:13" x14ac:dyDescent="0.3">
      <c r="A58" t="s">
        <v>153</v>
      </c>
    </row>
    <row r="59" spans="1:13" x14ac:dyDescent="0.3">
      <c r="A59" s="2" t="s">
        <v>89</v>
      </c>
      <c r="B59" s="2" t="s">
        <v>3</v>
      </c>
      <c r="L59" s="5"/>
    </row>
    <row r="60" spans="1:13" x14ac:dyDescent="0.3">
      <c r="A60" s="2" t="s">
        <v>2</v>
      </c>
      <c r="B60">
        <v>2015</v>
      </c>
      <c r="C60">
        <v>2016</v>
      </c>
      <c r="D60">
        <v>2017</v>
      </c>
      <c r="E60">
        <v>2018</v>
      </c>
      <c r="F60">
        <v>2019</v>
      </c>
      <c r="G60">
        <v>2020</v>
      </c>
      <c r="H60">
        <v>2021</v>
      </c>
      <c r="I60">
        <v>2022</v>
      </c>
      <c r="J60">
        <v>2023</v>
      </c>
      <c r="K60">
        <v>2024</v>
      </c>
      <c r="L60" s="5" t="s">
        <v>162</v>
      </c>
    </row>
    <row r="61" spans="1:13" x14ac:dyDescent="0.3">
      <c r="A61" t="s">
        <v>39</v>
      </c>
      <c r="B61">
        <v>0.83328053612667397</v>
      </c>
      <c r="C61">
        <v>0.84992643116647115</v>
      </c>
      <c r="D61">
        <v>0.80547826049508897</v>
      </c>
      <c r="E61">
        <v>0.80291156167036537</v>
      </c>
      <c r="F61">
        <v>0.57618978344839666</v>
      </c>
      <c r="G61">
        <v>0.57077824848390835</v>
      </c>
      <c r="H61">
        <v>0.64291908232424677</v>
      </c>
      <c r="I61">
        <v>0.67430668369218993</v>
      </c>
      <c r="J61">
        <v>0.70395887434193438</v>
      </c>
      <c r="K61">
        <v>0.73587031164722849</v>
      </c>
      <c r="L61">
        <f>(AVERAGE(H61:K61) - AVERAGE(B61:E61)) / AVERAGE(B61:E61) * 100</f>
        <v>-16.239590437227296</v>
      </c>
    </row>
    <row r="62" spans="1:13" x14ac:dyDescent="0.3">
      <c r="A62" t="s">
        <v>58</v>
      </c>
      <c r="B62">
        <v>0.67705505452777937</v>
      </c>
      <c r="C62">
        <v>0.70530673184697135</v>
      </c>
      <c r="D62">
        <v>0.78010320862476923</v>
      </c>
      <c r="E62">
        <v>0.79304168243860329</v>
      </c>
      <c r="F62">
        <v>0.59675259273086712</v>
      </c>
      <c r="G62">
        <v>0.73536569421315634</v>
      </c>
      <c r="H62">
        <v>0.85655199225670942</v>
      </c>
      <c r="I62">
        <v>0.81785874388928304</v>
      </c>
      <c r="J62">
        <v>0.89159615921585211</v>
      </c>
      <c r="K62">
        <v>0.95780394419774162</v>
      </c>
      <c r="L62">
        <f t="shared" ref="L62:L65" si="4">(AVERAGE(H62:K62) - AVERAGE(B62:E62)) / AVERAGE(B62:E62) * 100</f>
        <v>19.228654310267967</v>
      </c>
    </row>
    <row r="63" spans="1:13" x14ac:dyDescent="0.3">
      <c r="A63" t="s">
        <v>13</v>
      </c>
      <c r="B63">
        <v>0.61190944674947856</v>
      </c>
      <c r="C63">
        <v>0.65753361589895998</v>
      </c>
      <c r="D63">
        <v>0.66175924462062174</v>
      </c>
      <c r="E63">
        <v>0.70653108563382361</v>
      </c>
      <c r="F63">
        <v>0.50821065820494249</v>
      </c>
      <c r="G63">
        <v>0.53791687374589381</v>
      </c>
      <c r="H63">
        <v>0.55881088042802274</v>
      </c>
      <c r="I63">
        <v>0.56067210608207829</v>
      </c>
      <c r="J63">
        <v>0.6474793460564412</v>
      </c>
      <c r="K63">
        <v>0.75154041525951532</v>
      </c>
      <c r="L63">
        <f t="shared" si="4"/>
        <v>-4.520193185468611</v>
      </c>
    </row>
    <row r="64" spans="1:13" x14ac:dyDescent="0.3">
      <c r="A64" t="s">
        <v>27</v>
      </c>
      <c r="B64">
        <v>7.1035103721290654E-2</v>
      </c>
      <c r="C64">
        <v>7.7897118660340922E-2</v>
      </c>
      <c r="D64">
        <v>5.2823426366916469E-2</v>
      </c>
      <c r="E64">
        <v>0.34930448549877452</v>
      </c>
      <c r="F64">
        <v>0.26480192894037091</v>
      </c>
      <c r="G64">
        <v>0.25976404611880771</v>
      </c>
      <c r="H64">
        <v>0.30331355313585251</v>
      </c>
      <c r="I64">
        <v>0.33933877582069583</v>
      </c>
      <c r="J64">
        <v>0.41050433597543207</v>
      </c>
      <c r="K64">
        <v>0.43199623104103729</v>
      </c>
      <c r="L64">
        <f t="shared" si="4"/>
        <v>169.50831745459973</v>
      </c>
    </row>
    <row r="65" spans="1:12" x14ac:dyDescent="0.3">
      <c r="A65" t="s">
        <v>10</v>
      </c>
      <c r="B65">
        <v>0.39615535655501877</v>
      </c>
      <c r="C65">
        <v>0.47174172603804787</v>
      </c>
      <c r="D65">
        <v>0.53624185486315334</v>
      </c>
      <c r="E65">
        <v>0.42333060520496224</v>
      </c>
      <c r="F65">
        <v>0.30304255632585003</v>
      </c>
      <c r="G65">
        <v>0.3288000967112189</v>
      </c>
      <c r="H65">
        <v>0.34016809014661648</v>
      </c>
      <c r="I65">
        <v>0.35560602035979932</v>
      </c>
      <c r="J65">
        <v>0.38245536704512506</v>
      </c>
      <c r="K65">
        <v>0.39942628696977533</v>
      </c>
      <c r="L65">
        <f t="shared" si="4"/>
        <v>-19.141975829072532</v>
      </c>
    </row>
    <row r="68" spans="1:12" x14ac:dyDescent="0.3">
      <c r="A68" s="59"/>
      <c r="B68" s="59"/>
      <c r="C68" s="59"/>
      <c r="D68" s="59"/>
      <c r="E68" s="59"/>
    </row>
    <row r="70" spans="1:12" x14ac:dyDescent="0.3">
      <c r="A70" t="s">
        <v>2</v>
      </c>
      <c r="B70" t="s">
        <v>154</v>
      </c>
      <c r="C70" t="s">
        <v>161</v>
      </c>
      <c r="D70" t="s">
        <v>155</v>
      </c>
      <c r="E70" t="s">
        <v>162</v>
      </c>
      <c r="F70" t="s">
        <v>163</v>
      </c>
    </row>
    <row r="71" spans="1:12" x14ac:dyDescent="0.3">
      <c r="A71" t="s">
        <v>39</v>
      </c>
      <c r="B71">
        <v>-9.7643971706234822</v>
      </c>
      <c r="C71">
        <v>-3.0990654355193969</v>
      </c>
      <c r="D71">
        <v>2.878639068867467</v>
      </c>
      <c r="E71">
        <v>-16.239590437227296</v>
      </c>
      <c r="F71">
        <v>-4.9918872748217344</v>
      </c>
    </row>
    <row r="72" spans="1:12" x14ac:dyDescent="0.3">
      <c r="A72" t="s">
        <v>58</v>
      </c>
      <c r="B72">
        <v>14.18986128643728</v>
      </c>
      <c r="C72">
        <v>-28.308660990907153</v>
      </c>
      <c r="D72">
        <v>17.284723671699247</v>
      </c>
      <c r="E72">
        <v>19.228654310267967</v>
      </c>
      <c r="F72">
        <v>-32.695914469339847</v>
      </c>
    </row>
    <row r="73" spans="1:12" x14ac:dyDescent="0.3">
      <c r="A73" t="s">
        <v>13</v>
      </c>
      <c r="B73">
        <v>13.222405202199466</v>
      </c>
      <c r="C73">
        <v>44.946989900595</v>
      </c>
      <c r="D73">
        <v>30.126410371054003</v>
      </c>
      <c r="E73">
        <v>-4.520193185468611</v>
      </c>
      <c r="F73">
        <v>105.20576619745674</v>
      </c>
    </row>
    <row r="74" spans="1:12" x14ac:dyDescent="0.3">
      <c r="A74" t="s">
        <v>27</v>
      </c>
      <c r="B74">
        <v>93.8681380379968</v>
      </c>
      <c r="C74">
        <v>25.068168824689952</v>
      </c>
      <c r="D74">
        <v>21.872281246462567</v>
      </c>
      <c r="E74">
        <v>169.50831745459973</v>
      </c>
      <c r="F74">
        <v>1121.2533367640824</v>
      </c>
    </row>
    <row r="75" spans="1:12" x14ac:dyDescent="0.3">
      <c r="A75" t="s">
        <v>10</v>
      </c>
      <c r="B75">
        <v>-6.5174801251701329</v>
      </c>
      <c r="C75">
        <v>149.45442409215053</v>
      </c>
      <c r="D75">
        <v>32.924396533829658</v>
      </c>
      <c r="E75">
        <v>-19.141975829072532</v>
      </c>
      <c r="F75">
        <v>1705.0537990557559</v>
      </c>
    </row>
    <row r="78" spans="1:12" x14ac:dyDescent="0.3">
      <c r="A78" s="2" t="s">
        <v>86</v>
      </c>
      <c r="B78" t="s">
        <v>164</v>
      </c>
      <c r="C78" t="s">
        <v>168</v>
      </c>
      <c r="D78" t="s">
        <v>167</v>
      </c>
      <c r="E78" t="s">
        <v>165</v>
      </c>
      <c r="F78" t="s">
        <v>166</v>
      </c>
    </row>
    <row r="79" spans="1:12" x14ac:dyDescent="0.3">
      <c r="A79" s="3" t="s">
        <v>10</v>
      </c>
      <c r="B79" s="60">
        <v>-6.5174801251701329</v>
      </c>
      <c r="C79" s="60">
        <v>149.45442409215053</v>
      </c>
      <c r="D79" s="60">
        <v>32.924396533829658</v>
      </c>
      <c r="E79" s="60">
        <v>-19.141975829072532</v>
      </c>
      <c r="F79" s="60">
        <v>1705.0537990557559</v>
      </c>
    </row>
    <row r="80" spans="1:12" x14ac:dyDescent="0.3">
      <c r="A80" s="3" t="s">
        <v>27</v>
      </c>
      <c r="B80" s="60">
        <v>93.8681380379968</v>
      </c>
      <c r="C80" s="60">
        <v>25.068168824689952</v>
      </c>
      <c r="D80" s="60">
        <v>21.872281246462567</v>
      </c>
      <c r="E80" s="60">
        <v>169.50831745459973</v>
      </c>
      <c r="F80" s="60">
        <v>1121.2533367640824</v>
      </c>
    </row>
    <row r="81" spans="1:6" x14ac:dyDescent="0.3">
      <c r="A81" s="3" t="s">
        <v>13</v>
      </c>
      <c r="B81" s="60">
        <v>13.222405202199466</v>
      </c>
      <c r="C81" s="60">
        <v>44.946989900595</v>
      </c>
      <c r="D81" s="60">
        <v>30.126410371054003</v>
      </c>
      <c r="E81" s="60">
        <v>-4.520193185468611</v>
      </c>
      <c r="F81" s="60">
        <v>105.20576619745674</v>
      </c>
    </row>
    <row r="82" spans="1:6" x14ac:dyDescent="0.3">
      <c r="A82" s="3" t="s">
        <v>58</v>
      </c>
      <c r="B82" s="60">
        <v>14.18986128643728</v>
      </c>
      <c r="C82" s="60">
        <v>-28.308660990907153</v>
      </c>
      <c r="D82" s="60">
        <v>17.284723671699247</v>
      </c>
      <c r="E82" s="60">
        <v>19.228654310267967</v>
      </c>
      <c r="F82" s="60">
        <v>-32.695914469339847</v>
      </c>
    </row>
    <row r="83" spans="1:6" x14ac:dyDescent="0.3">
      <c r="A83" s="3" t="s">
        <v>39</v>
      </c>
      <c r="B83" s="60">
        <v>-9.7643971706234822</v>
      </c>
      <c r="C83" s="60">
        <v>-3.0990654355193969</v>
      </c>
      <c r="D83" s="60">
        <v>2.878639068867467</v>
      </c>
      <c r="E83" s="60">
        <v>-16.239590437227296</v>
      </c>
      <c r="F83" s="60">
        <v>-4.9918872748217344</v>
      </c>
    </row>
    <row r="96" spans="1:6" x14ac:dyDescent="0.3">
      <c r="B96" s="1"/>
      <c r="C96" s="1"/>
    </row>
  </sheetData>
  <mergeCells count="3">
    <mergeCell ref="A5:G5"/>
    <mergeCell ref="A15:C15"/>
    <mergeCell ref="A68:E68"/>
  </mergeCells>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7100E-8B7E-4D6D-91EA-087D621406CF}">
  <dimension ref="A1:T53"/>
  <sheetViews>
    <sheetView tabSelected="1" topLeftCell="I2" workbookViewId="0">
      <selection activeCell="P7" sqref="P7"/>
    </sheetView>
  </sheetViews>
  <sheetFormatPr defaultRowHeight="14.4" x14ac:dyDescent="0.3"/>
  <cols>
    <col min="1" max="1" width="10.33203125" bestFit="1" customWidth="1"/>
    <col min="2" max="2" width="15.44140625" bestFit="1" customWidth="1"/>
    <col min="3" max="3" width="18.44140625" bestFit="1" customWidth="1"/>
    <col min="4" max="4" width="6.88671875" bestFit="1" customWidth="1"/>
    <col min="5" max="5" width="22.44140625" bestFit="1" customWidth="1"/>
    <col min="6" max="6" width="27.6640625" bestFit="1" customWidth="1"/>
    <col min="7" max="7" width="22.88671875" bestFit="1" customWidth="1"/>
    <col min="8" max="8" width="18.88671875" bestFit="1" customWidth="1"/>
    <col min="9" max="9" width="12.44140625" bestFit="1" customWidth="1"/>
    <col min="10" max="10" width="11.88671875" bestFit="1" customWidth="1"/>
    <col min="11" max="11" width="11.109375" bestFit="1" customWidth="1"/>
    <col min="12" max="12" width="11.88671875" bestFit="1" customWidth="1"/>
    <col min="13" max="13" width="11.6640625" bestFit="1" customWidth="1"/>
    <col min="14" max="14" width="11.109375" bestFit="1" customWidth="1"/>
    <col min="15" max="15" width="14.6640625" bestFit="1" customWidth="1"/>
    <col min="16" max="16" width="23.77734375" bestFit="1" customWidth="1"/>
    <col min="17" max="17" width="17" bestFit="1" customWidth="1"/>
    <col min="18" max="18" width="16.5546875" bestFit="1" customWidth="1"/>
    <col min="19" max="19" width="13.44140625" bestFit="1" customWidth="1"/>
    <col min="20" max="20" width="27.77734375" bestFit="1" customWidth="1"/>
    <col min="21" max="21" width="28.5546875" bestFit="1" customWidth="1"/>
    <col min="22" max="23" width="15.6640625" bestFit="1" customWidth="1"/>
  </cols>
  <sheetData>
    <row r="1" spans="1:20" x14ac:dyDescent="0.3">
      <c r="A1" t="s">
        <v>0</v>
      </c>
      <c r="B1" t="s">
        <v>1</v>
      </c>
      <c r="C1" t="s">
        <v>2</v>
      </c>
      <c r="D1" t="s">
        <v>3</v>
      </c>
      <c r="E1" t="s">
        <v>78</v>
      </c>
      <c r="F1" t="s">
        <v>79</v>
      </c>
      <c r="G1" t="s">
        <v>80</v>
      </c>
      <c r="H1" t="s">
        <v>81</v>
      </c>
      <c r="I1" t="s">
        <v>68</v>
      </c>
      <c r="J1" t="s">
        <v>69</v>
      </c>
      <c r="K1" t="s">
        <v>70</v>
      </c>
      <c r="L1" t="s">
        <v>71</v>
      </c>
      <c r="M1" t="s">
        <v>72</v>
      </c>
      <c r="N1" t="s">
        <v>73</v>
      </c>
      <c r="O1" t="s">
        <v>74</v>
      </c>
      <c r="P1" t="s">
        <v>75</v>
      </c>
      <c r="Q1" t="s">
        <v>82</v>
      </c>
      <c r="R1" t="s">
        <v>83</v>
      </c>
      <c r="S1" t="s">
        <v>84</v>
      </c>
      <c r="T1" t="s">
        <v>169</v>
      </c>
    </row>
    <row r="2" spans="1:20" x14ac:dyDescent="0.3">
      <c r="A2" s="60" t="s">
        <v>8</v>
      </c>
      <c r="B2" s="60" t="s">
        <v>9</v>
      </c>
      <c r="C2" s="60" t="s">
        <v>10</v>
      </c>
      <c r="D2">
        <v>2015</v>
      </c>
      <c r="E2">
        <v>0.16126787288324124</v>
      </c>
      <c r="F2">
        <v>0.63104284022679635</v>
      </c>
      <c r="H2">
        <v>0.39615535655501877</v>
      </c>
      <c r="T2">
        <v>0.39615535655501877</v>
      </c>
    </row>
    <row r="3" spans="1:20" x14ac:dyDescent="0.3">
      <c r="A3" s="60" t="s">
        <v>35</v>
      </c>
      <c r="B3" s="60" t="s">
        <v>9</v>
      </c>
      <c r="C3" s="60" t="s">
        <v>10</v>
      </c>
      <c r="D3">
        <v>2024</v>
      </c>
      <c r="E3">
        <v>0.42545457743738141</v>
      </c>
      <c r="F3">
        <v>0.71060743651229075</v>
      </c>
      <c r="G3">
        <v>6.22168469596538E-2</v>
      </c>
      <c r="H3">
        <v>0.39942628696977533</v>
      </c>
      <c r="I3">
        <v>95</v>
      </c>
      <c r="J3">
        <v>0.70016</v>
      </c>
      <c r="K3">
        <v>0.69455999999999996</v>
      </c>
      <c r="L3">
        <v>0.61502999999999997</v>
      </c>
      <c r="M3">
        <v>0.58899999999999997</v>
      </c>
      <c r="N3">
        <v>74</v>
      </c>
      <c r="O3">
        <v>0.6699166666666666</v>
      </c>
      <c r="P3">
        <v>0.30114029023832745</v>
      </c>
      <c r="Q3">
        <v>0.21667021098952782</v>
      </c>
      <c r="R3">
        <v>5.4898462549660285E-2</v>
      </c>
      <c r="S3">
        <v>0.13578433676959406</v>
      </c>
      <c r="T3">
        <v>0.45682774795825648</v>
      </c>
    </row>
    <row r="4" spans="1:20" x14ac:dyDescent="0.3">
      <c r="A4" s="60" t="s">
        <v>11</v>
      </c>
      <c r="B4" s="60" t="s">
        <v>12</v>
      </c>
      <c r="C4" s="60" t="s">
        <v>13</v>
      </c>
      <c r="D4">
        <v>2019</v>
      </c>
      <c r="E4">
        <v>0.62501753629764345</v>
      </c>
      <c r="F4">
        <v>0.80625400530460523</v>
      </c>
      <c r="G4">
        <v>9.3360433012578736E-2</v>
      </c>
      <c r="H4">
        <v>0.50821065820494249</v>
      </c>
      <c r="T4">
        <v>0.50821065820494249</v>
      </c>
    </row>
    <row r="5" spans="1:20" x14ac:dyDescent="0.3">
      <c r="A5" s="60" t="s">
        <v>20</v>
      </c>
      <c r="B5" s="60" t="s">
        <v>12</v>
      </c>
      <c r="C5" s="60" t="s">
        <v>13</v>
      </c>
      <c r="D5">
        <v>2017</v>
      </c>
      <c r="E5">
        <v>0.55801265432384539</v>
      </c>
      <c r="F5">
        <v>0.7655058349173981</v>
      </c>
      <c r="H5">
        <v>0.66175924462062174</v>
      </c>
      <c r="P5">
        <v>0.41498030331004354</v>
      </c>
      <c r="Q5">
        <v>0.61192697363364057</v>
      </c>
      <c r="R5">
        <v>0.20962423243591372</v>
      </c>
      <c r="S5">
        <v>0.41077560303477711</v>
      </c>
      <c r="T5">
        <v>0.53836977396533259</v>
      </c>
    </row>
    <row r="6" spans="1:20" x14ac:dyDescent="0.3">
      <c r="A6" s="60" t="s">
        <v>33</v>
      </c>
      <c r="B6" s="60" t="s">
        <v>9</v>
      </c>
      <c r="C6" s="60" t="s">
        <v>10</v>
      </c>
      <c r="D6">
        <v>2022</v>
      </c>
      <c r="E6">
        <v>0.38753152046913519</v>
      </c>
      <c r="F6">
        <v>0.64246724729595051</v>
      </c>
      <c r="G6">
        <v>3.6819293314312197E-2</v>
      </c>
      <c r="H6">
        <v>0.35560602035979932</v>
      </c>
      <c r="I6">
        <v>103</v>
      </c>
      <c r="J6">
        <v>0.57299999999999995</v>
      </c>
      <c r="K6">
        <v>0.55789999999999995</v>
      </c>
      <c r="L6">
        <v>0.63749999999999996</v>
      </c>
      <c r="M6">
        <v>0.3523</v>
      </c>
      <c r="N6">
        <v>107</v>
      </c>
      <c r="O6">
        <v>0.58946666666666669</v>
      </c>
      <c r="T6">
        <v>0.47253634351323304</v>
      </c>
    </row>
    <row r="7" spans="1:20" x14ac:dyDescent="0.3">
      <c r="A7" s="60" t="s">
        <v>14</v>
      </c>
      <c r="B7" s="60" t="s">
        <v>12</v>
      </c>
      <c r="C7" s="60" t="s">
        <v>13</v>
      </c>
      <c r="D7">
        <v>2015</v>
      </c>
      <c r="E7">
        <v>0.42887841054362968</v>
      </c>
      <c r="F7">
        <v>0.79494048295532738</v>
      </c>
      <c r="H7">
        <v>0.61190944674947856</v>
      </c>
      <c r="T7">
        <v>0.61190944674947856</v>
      </c>
    </row>
    <row r="8" spans="1:20" x14ac:dyDescent="0.3">
      <c r="A8" s="60" t="s">
        <v>31</v>
      </c>
      <c r="B8" s="60" t="s">
        <v>9</v>
      </c>
      <c r="C8" s="60" t="s">
        <v>10</v>
      </c>
      <c r="D8">
        <v>2020</v>
      </c>
      <c r="E8">
        <v>0.36362808999475321</v>
      </c>
      <c r="F8">
        <v>0.59955208585857889</v>
      </c>
      <c r="G8">
        <v>2.3220114280324576E-2</v>
      </c>
      <c r="H8">
        <v>0.3288000967112189</v>
      </c>
      <c r="I8">
        <v>111</v>
      </c>
      <c r="J8">
        <v>0.5706</v>
      </c>
      <c r="K8">
        <v>0.46829999999999999</v>
      </c>
      <c r="L8">
        <v>0.61919999999999997</v>
      </c>
      <c r="M8">
        <v>0.51190000000000002</v>
      </c>
      <c r="N8">
        <v>106</v>
      </c>
      <c r="O8">
        <v>0.55269999999999997</v>
      </c>
      <c r="T8">
        <v>0.44075004835560944</v>
      </c>
    </row>
    <row r="9" spans="1:20" x14ac:dyDescent="0.3">
      <c r="A9" s="60" t="s">
        <v>15</v>
      </c>
      <c r="B9" s="60" t="s">
        <v>12</v>
      </c>
      <c r="C9" s="60" t="s">
        <v>13</v>
      </c>
      <c r="D9">
        <v>2020</v>
      </c>
      <c r="E9">
        <v>0.69565986848842565</v>
      </c>
      <c r="F9">
        <v>0.67317733496642795</v>
      </c>
      <c r="G9">
        <v>0.24491341778282796</v>
      </c>
      <c r="H9">
        <v>0.53791687374589381</v>
      </c>
      <c r="I9">
        <v>43</v>
      </c>
      <c r="J9">
        <v>0.68820000000000003</v>
      </c>
      <c r="K9">
        <v>0.84419999999999995</v>
      </c>
      <c r="L9">
        <v>0.86480000000000001</v>
      </c>
      <c r="M9">
        <v>0.71430000000000005</v>
      </c>
      <c r="N9">
        <v>66</v>
      </c>
      <c r="O9">
        <v>0.79906666666666659</v>
      </c>
      <c r="T9">
        <v>0.66849177020628026</v>
      </c>
    </row>
    <row r="10" spans="1:20" x14ac:dyDescent="0.3">
      <c r="A10" s="60" t="s">
        <v>17</v>
      </c>
      <c r="B10" s="60" t="s">
        <v>12</v>
      </c>
      <c r="C10" s="60" t="s">
        <v>13</v>
      </c>
      <c r="D10">
        <v>2021</v>
      </c>
      <c r="E10">
        <v>0.77887701411054377</v>
      </c>
      <c r="F10">
        <v>0.57805622376268506</v>
      </c>
      <c r="G10">
        <v>0.31949940341083954</v>
      </c>
      <c r="H10">
        <v>0.55881088042802274</v>
      </c>
      <c r="P10">
        <v>0.75041190041764538</v>
      </c>
      <c r="Q10">
        <v>0.64819158469226623</v>
      </c>
      <c r="R10">
        <v>0.48412670734849028</v>
      </c>
      <c r="S10">
        <v>0.56615914602037831</v>
      </c>
      <c r="T10">
        <v>0.65461139042283412</v>
      </c>
    </row>
    <row r="11" spans="1:20" x14ac:dyDescent="0.3">
      <c r="A11" s="60" t="s">
        <v>29</v>
      </c>
      <c r="B11" s="60" t="s">
        <v>9</v>
      </c>
      <c r="C11" s="60" t="s">
        <v>10</v>
      </c>
      <c r="D11">
        <v>2018</v>
      </c>
      <c r="E11">
        <v>0.2293496704140128</v>
      </c>
      <c r="F11">
        <v>0.61731153999591171</v>
      </c>
      <c r="H11">
        <v>0.42333060520496224</v>
      </c>
      <c r="I11">
        <v>114</v>
      </c>
      <c r="J11">
        <v>0.53469999999999995</v>
      </c>
      <c r="K11">
        <v>0.32219999999999999</v>
      </c>
      <c r="L11">
        <v>0.60719999999999996</v>
      </c>
      <c r="M11">
        <v>0.5393</v>
      </c>
      <c r="N11">
        <v>109</v>
      </c>
      <c r="O11">
        <v>0.48803333333333332</v>
      </c>
      <c r="T11">
        <v>0.45568196926914778</v>
      </c>
    </row>
    <row r="12" spans="1:20" x14ac:dyDescent="0.3">
      <c r="A12" s="60" t="s">
        <v>16</v>
      </c>
      <c r="B12" s="60" t="s">
        <v>12</v>
      </c>
      <c r="C12" s="60" t="s">
        <v>13</v>
      </c>
      <c r="D12">
        <v>2016</v>
      </c>
      <c r="E12">
        <v>0.44257538763933119</v>
      </c>
      <c r="F12">
        <v>0.87249184415858883</v>
      </c>
      <c r="H12">
        <v>0.65753361589895998</v>
      </c>
      <c r="I12">
        <v>44</v>
      </c>
      <c r="J12">
        <v>0.67391000000000001</v>
      </c>
      <c r="K12">
        <v>0.57333999999999996</v>
      </c>
      <c r="L12">
        <v>0.79945999999999995</v>
      </c>
      <c r="M12">
        <v>0.71186000000000005</v>
      </c>
      <c r="N12">
        <v>39</v>
      </c>
      <c r="O12">
        <v>0.68223666666666671</v>
      </c>
      <c r="T12">
        <v>0.66988514128281329</v>
      </c>
    </row>
    <row r="13" spans="1:20" x14ac:dyDescent="0.3">
      <c r="A13" s="60" t="s">
        <v>18</v>
      </c>
      <c r="B13" s="60" t="s">
        <v>9</v>
      </c>
      <c r="C13" s="60" t="s">
        <v>10</v>
      </c>
      <c r="D13">
        <v>2016</v>
      </c>
      <c r="E13">
        <v>0.18249398251925708</v>
      </c>
      <c r="F13">
        <v>0.76098946955683866</v>
      </c>
      <c r="H13">
        <v>0.47174172603804787</v>
      </c>
      <c r="I13">
        <v>108</v>
      </c>
      <c r="J13">
        <v>0.47100999999999998</v>
      </c>
      <c r="K13">
        <v>0.30246000000000001</v>
      </c>
      <c r="L13">
        <v>0.60475999999999996</v>
      </c>
      <c r="M13">
        <v>0.40677999999999997</v>
      </c>
      <c r="N13">
        <v>107</v>
      </c>
      <c r="O13">
        <v>0.45940999999999993</v>
      </c>
      <c r="T13">
        <v>0.46557586301902387</v>
      </c>
    </row>
    <row r="14" spans="1:20" x14ac:dyDescent="0.3">
      <c r="A14" s="60" t="s">
        <v>19</v>
      </c>
      <c r="B14" s="60" t="s">
        <v>12</v>
      </c>
      <c r="C14" s="60" t="s">
        <v>13</v>
      </c>
      <c r="D14">
        <v>2022</v>
      </c>
      <c r="E14">
        <v>0.84988537151508348</v>
      </c>
      <c r="F14">
        <v>0.48788687963540217</v>
      </c>
      <c r="G14">
        <v>0.34424406709574928</v>
      </c>
      <c r="H14">
        <v>0.56067210608207829</v>
      </c>
      <c r="I14">
        <v>31</v>
      </c>
      <c r="J14">
        <v>0.82199999999999995</v>
      </c>
      <c r="K14">
        <v>0.87350000000000005</v>
      </c>
      <c r="L14">
        <v>0.86619999999999997</v>
      </c>
      <c r="M14">
        <v>0.69320000000000004</v>
      </c>
      <c r="N14">
        <v>43</v>
      </c>
      <c r="O14">
        <v>0.85389999999999999</v>
      </c>
      <c r="T14">
        <v>0.7072860530410392</v>
      </c>
    </row>
    <row r="15" spans="1:20" x14ac:dyDescent="0.3">
      <c r="A15" s="60" t="s">
        <v>28</v>
      </c>
      <c r="B15" s="60" t="s">
        <v>26</v>
      </c>
      <c r="C15" s="60" t="s">
        <v>27</v>
      </c>
      <c r="D15">
        <v>2020</v>
      </c>
      <c r="E15">
        <v>0.18714870836088171</v>
      </c>
      <c r="F15">
        <v>0.52288800763364685</v>
      </c>
      <c r="G15">
        <v>6.9255422361894581E-2</v>
      </c>
      <c r="H15">
        <v>0.25976404611880771</v>
      </c>
      <c r="I15">
        <v>100</v>
      </c>
      <c r="J15">
        <v>0.85289999999999999</v>
      </c>
      <c r="K15">
        <v>0.35149999999999998</v>
      </c>
      <c r="L15">
        <v>0.58479999999999999</v>
      </c>
      <c r="M15">
        <v>0.85709999999999997</v>
      </c>
      <c r="N15">
        <v>29</v>
      </c>
      <c r="O15">
        <v>0.59639999999999993</v>
      </c>
      <c r="T15">
        <v>0.42808202305940379</v>
      </c>
    </row>
    <row r="16" spans="1:20" x14ac:dyDescent="0.3">
      <c r="A16" s="60" t="s">
        <v>21</v>
      </c>
      <c r="B16" s="60" t="s">
        <v>12</v>
      </c>
      <c r="C16" s="60" t="s">
        <v>13</v>
      </c>
      <c r="D16">
        <v>2023</v>
      </c>
      <c r="E16">
        <v>0.90307142558557729</v>
      </c>
      <c r="F16">
        <v>0.67802175031777079</v>
      </c>
      <c r="G16">
        <v>0.3613448622659754</v>
      </c>
      <c r="H16">
        <v>0.6474793460564412</v>
      </c>
      <c r="T16">
        <v>0.6474793460564412</v>
      </c>
    </row>
    <row r="17" spans="1:20" x14ac:dyDescent="0.3">
      <c r="A17" s="60" t="s">
        <v>40</v>
      </c>
      <c r="B17" s="60" t="s">
        <v>26</v>
      </c>
      <c r="C17" s="60" t="s">
        <v>27</v>
      </c>
      <c r="D17">
        <v>2016</v>
      </c>
      <c r="E17">
        <v>1.9298221011997605E-2</v>
      </c>
      <c r="F17">
        <v>0.13649601630868424</v>
      </c>
      <c r="H17">
        <v>7.7897118660340922E-2</v>
      </c>
      <c r="I17">
        <v>107</v>
      </c>
      <c r="J17">
        <v>0.74638000000000004</v>
      </c>
      <c r="K17">
        <v>0.14298</v>
      </c>
      <c r="L17">
        <v>0.50188999999999995</v>
      </c>
      <c r="M17">
        <v>0.76271</v>
      </c>
      <c r="N17">
        <v>27</v>
      </c>
      <c r="O17">
        <v>0.46374999999999994</v>
      </c>
      <c r="T17">
        <v>0.27082355933017044</v>
      </c>
    </row>
    <row r="18" spans="1:20" x14ac:dyDescent="0.3">
      <c r="A18" s="60" t="s">
        <v>22</v>
      </c>
      <c r="B18" s="60" t="s">
        <v>12</v>
      </c>
      <c r="C18" s="60" t="s">
        <v>13</v>
      </c>
      <c r="D18">
        <v>2018</v>
      </c>
      <c r="E18">
        <v>0.60680816596304199</v>
      </c>
      <c r="F18">
        <v>0.80625400530460523</v>
      </c>
      <c r="H18">
        <v>0.70653108563382361</v>
      </c>
      <c r="I18">
        <v>52</v>
      </c>
      <c r="J18">
        <v>0.79169999999999996</v>
      </c>
      <c r="K18">
        <v>0.53390000000000004</v>
      </c>
      <c r="L18">
        <v>0.81010000000000004</v>
      </c>
      <c r="M18">
        <v>0.71350000000000002</v>
      </c>
      <c r="N18">
        <v>67</v>
      </c>
      <c r="O18">
        <v>0.71189999999999998</v>
      </c>
      <c r="T18">
        <v>0.70921554281691179</v>
      </c>
    </row>
    <row r="19" spans="1:20" x14ac:dyDescent="0.3">
      <c r="A19" s="60" t="s">
        <v>23</v>
      </c>
      <c r="B19" s="60" t="s">
        <v>12</v>
      </c>
      <c r="C19" s="60" t="s">
        <v>13</v>
      </c>
      <c r="D19">
        <v>2024</v>
      </c>
      <c r="E19">
        <v>0.9282931396507369</v>
      </c>
      <c r="F19">
        <v>0.92843243716492763</v>
      </c>
      <c r="G19">
        <v>0.39789566896288148</v>
      </c>
      <c r="H19">
        <v>0.75154041525951532</v>
      </c>
      <c r="I19">
        <v>6</v>
      </c>
      <c r="J19">
        <v>0.98995</v>
      </c>
      <c r="K19">
        <v>0.98411000000000004</v>
      </c>
      <c r="L19">
        <v>0.90666000000000002</v>
      </c>
      <c r="M19">
        <v>0.95889999999999997</v>
      </c>
      <c r="N19">
        <v>7</v>
      </c>
      <c r="O19">
        <v>0.96024000000000009</v>
      </c>
      <c r="P19">
        <v>0.85156351097590477</v>
      </c>
      <c r="Q19">
        <v>0.71069505186128101</v>
      </c>
      <c r="R19">
        <v>0.48011869182857209</v>
      </c>
      <c r="S19">
        <v>0.59540687184492658</v>
      </c>
      <c r="T19">
        <v>0.85444797541180673</v>
      </c>
    </row>
    <row r="20" spans="1:20" x14ac:dyDescent="0.3">
      <c r="A20" s="60" t="s">
        <v>24</v>
      </c>
      <c r="B20" s="60" t="s">
        <v>9</v>
      </c>
      <c r="C20" s="60" t="s">
        <v>10</v>
      </c>
      <c r="D20">
        <v>2017</v>
      </c>
      <c r="E20">
        <v>0.20666908967826336</v>
      </c>
      <c r="F20">
        <v>0.86581462004804344</v>
      </c>
      <c r="H20">
        <v>0.53624185486315334</v>
      </c>
      <c r="P20">
        <v>1.6683175337813053E-2</v>
      </c>
      <c r="Q20">
        <v>7.3844151490551624E-2</v>
      </c>
      <c r="R20">
        <v>3.5020894510343674E-2</v>
      </c>
      <c r="S20">
        <v>5.4432523000447652E-2</v>
      </c>
      <c r="T20">
        <v>0.2764625151004832</v>
      </c>
    </row>
    <row r="21" spans="1:20" x14ac:dyDescent="0.3">
      <c r="A21" s="60" t="s">
        <v>24</v>
      </c>
      <c r="B21" s="60" t="s">
        <v>9</v>
      </c>
      <c r="C21" s="60" t="s">
        <v>10</v>
      </c>
      <c r="D21">
        <v>2017</v>
      </c>
      <c r="E21">
        <v>0.20666908967826336</v>
      </c>
      <c r="F21">
        <v>0.86581462004804344</v>
      </c>
      <c r="H21">
        <v>0.53624185486315334</v>
      </c>
      <c r="P21">
        <v>0</v>
      </c>
      <c r="Q21">
        <v>7.3844151490551624E-2</v>
      </c>
      <c r="R21">
        <v>3.5020894510343674E-2</v>
      </c>
      <c r="S21">
        <v>5.4432523000447652E-2</v>
      </c>
      <c r="T21">
        <v>0.26812092743157667</v>
      </c>
    </row>
    <row r="22" spans="1:20" x14ac:dyDescent="0.3">
      <c r="A22" s="60" t="s">
        <v>25</v>
      </c>
      <c r="B22" s="60" t="s">
        <v>26</v>
      </c>
      <c r="C22" s="60" t="s">
        <v>27</v>
      </c>
      <c r="D22">
        <v>2019</v>
      </c>
      <c r="E22">
        <v>0.12153213271042063</v>
      </c>
      <c r="F22">
        <v>0.63735352313477678</v>
      </c>
      <c r="G22">
        <v>3.5520130975915248E-2</v>
      </c>
      <c r="H22">
        <v>0.26480192894037091</v>
      </c>
      <c r="T22">
        <v>0.26480192894037091</v>
      </c>
    </row>
    <row r="23" spans="1:20" x14ac:dyDescent="0.3">
      <c r="A23" s="60" t="s">
        <v>30</v>
      </c>
      <c r="B23" s="60" t="s">
        <v>9</v>
      </c>
      <c r="C23" s="60" t="s">
        <v>10</v>
      </c>
      <c r="D23">
        <v>2019</v>
      </c>
      <c r="E23">
        <v>0.28513626614314974</v>
      </c>
      <c r="F23">
        <v>0.61731153999591171</v>
      </c>
      <c r="G23">
        <v>6.6798628384887064E-3</v>
      </c>
      <c r="H23">
        <v>0.30304255632585003</v>
      </c>
      <c r="T23">
        <v>0.30304255632585003</v>
      </c>
    </row>
    <row r="24" spans="1:20" x14ac:dyDescent="0.3">
      <c r="A24" s="60" t="s">
        <v>32</v>
      </c>
      <c r="B24" s="60" t="s">
        <v>9</v>
      </c>
      <c r="C24" s="60" t="s">
        <v>10</v>
      </c>
      <c r="D24">
        <v>2021</v>
      </c>
      <c r="E24">
        <v>0.37345018689097143</v>
      </c>
      <c r="F24">
        <v>0.61307470017551668</v>
      </c>
      <c r="G24">
        <v>3.3979383373361344E-2</v>
      </c>
      <c r="H24">
        <v>0.34016809014661648</v>
      </c>
      <c r="P24">
        <v>1.6183336258612589E-2</v>
      </c>
      <c r="Q24">
        <v>0</v>
      </c>
      <c r="R24">
        <v>0</v>
      </c>
      <c r="S24">
        <v>0</v>
      </c>
      <c r="T24">
        <v>0.17817571320261452</v>
      </c>
    </row>
    <row r="25" spans="1:20" x14ac:dyDescent="0.3">
      <c r="A25" s="60" t="s">
        <v>32</v>
      </c>
      <c r="B25" s="60" t="s">
        <v>9</v>
      </c>
      <c r="C25" s="60" t="s">
        <v>10</v>
      </c>
      <c r="D25">
        <v>2021</v>
      </c>
      <c r="E25">
        <v>0.37345018689097143</v>
      </c>
      <c r="F25">
        <v>0.61307470017551668</v>
      </c>
      <c r="G25">
        <v>3.3979383373361344E-2</v>
      </c>
      <c r="H25">
        <v>0.34016809014661648</v>
      </c>
      <c r="P25">
        <v>6.3614991010925185E-3</v>
      </c>
      <c r="Q25">
        <v>0</v>
      </c>
      <c r="R25">
        <v>0</v>
      </c>
      <c r="S25">
        <v>0</v>
      </c>
      <c r="T25">
        <v>0.1732647946238545</v>
      </c>
    </row>
    <row r="26" spans="1:20" x14ac:dyDescent="0.3">
      <c r="A26" s="60" t="s">
        <v>34</v>
      </c>
      <c r="B26" s="60" t="s">
        <v>9</v>
      </c>
      <c r="C26" s="60" t="s">
        <v>10</v>
      </c>
      <c r="D26">
        <v>2023</v>
      </c>
      <c r="E26">
        <v>0.39983578030655015</v>
      </c>
      <c r="F26">
        <v>0.70078574146290629</v>
      </c>
      <c r="G26">
        <v>4.6744579365918679E-2</v>
      </c>
      <c r="H26">
        <v>0.38245536704512506</v>
      </c>
      <c r="T26">
        <v>0.38245536704512506</v>
      </c>
    </row>
    <row r="27" spans="1:20" x14ac:dyDescent="0.3">
      <c r="A27" s="60" t="s">
        <v>36</v>
      </c>
      <c r="B27" s="60" t="s">
        <v>26</v>
      </c>
      <c r="C27" s="60" t="s">
        <v>27</v>
      </c>
      <c r="D27">
        <v>2015</v>
      </c>
      <c r="E27">
        <v>0</v>
      </c>
      <c r="F27">
        <v>0.14207020744258131</v>
      </c>
      <c r="H27">
        <v>7.1035103721290654E-2</v>
      </c>
      <c r="T27">
        <v>7.1035103721290654E-2</v>
      </c>
    </row>
    <row r="28" spans="1:20" x14ac:dyDescent="0.3">
      <c r="A28" s="60" t="s">
        <v>37</v>
      </c>
      <c r="B28" s="60" t="s">
        <v>38</v>
      </c>
      <c r="C28" s="60" t="s">
        <v>39</v>
      </c>
      <c r="D28">
        <v>2015</v>
      </c>
      <c r="E28">
        <v>0.70196602281197717</v>
      </c>
      <c r="F28">
        <v>0.96459504944137087</v>
      </c>
      <c r="H28">
        <v>0.83328053612667397</v>
      </c>
      <c r="T28">
        <v>0.83328053612667397</v>
      </c>
    </row>
    <row r="29" spans="1:20" x14ac:dyDescent="0.3">
      <c r="A29" s="60" t="s">
        <v>41</v>
      </c>
      <c r="B29" s="60" t="s">
        <v>38</v>
      </c>
      <c r="C29" s="60" t="s">
        <v>39</v>
      </c>
      <c r="D29">
        <v>2016</v>
      </c>
      <c r="E29">
        <v>0.71790963144730335</v>
      </c>
      <c r="F29">
        <v>0.98194323088563895</v>
      </c>
      <c r="H29">
        <v>0.84992643116647115</v>
      </c>
      <c r="I29">
        <v>1</v>
      </c>
      <c r="J29">
        <v>1</v>
      </c>
      <c r="K29">
        <v>0.81766000000000005</v>
      </c>
      <c r="L29">
        <v>0.94018000000000002</v>
      </c>
      <c r="M29">
        <v>1</v>
      </c>
      <c r="N29">
        <v>1</v>
      </c>
      <c r="O29">
        <v>0.91927999999999999</v>
      </c>
      <c r="T29">
        <v>0.88460321558323551</v>
      </c>
    </row>
    <row r="30" spans="1:20" x14ac:dyDescent="0.3">
      <c r="A30" s="60" t="s">
        <v>42</v>
      </c>
      <c r="B30" s="60" t="s">
        <v>26</v>
      </c>
      <c r="C30" s="60" t="s">
        <v>27</v>
      </c>
      <c r="D30">
        <v>2017</v>
      </c>
      <c r="E30">
        <v>4.1052587950697148E-2</v>
      </c>
      <c r="F30">
        <v>6.4594264783135791E-2</v>
      </c>
      <c r="H30">
        <v>5.2823426366916469E-2</v>
      </c>
      <c r="P30">
        <v>3.9786186144369205E-2</v>
      </c>
      <c r="Q30">
        <v>0.72499797288126133</v>
      </c>
      <c r="R30">
        <v>0.14090106545890502</v>
      </c>
      <c r="S30">
        <v>0.43294951917008317</v>
      </c>
      <c r="T30">
        <v>4.6304806255642837E-2</v>
      </c>
    </row>
    <row r="31" spans="1:20" x14ac:dyDescent="0.3">
      <c r="A31" s="60" t="s">
        <v>43</v>
      </c>
      <c r="B31" s="60" t="s">
        <v>38</v>
      </c>
      <c r="C31" s="60" t="s">
        <v>39</v>
      </c>
      <c r="D31">
        <v>2019</v>
      </c>
      <c r="E31">
        <v>0.75742641057118909</v>
      </c>
      <c r="F31">
        <v>0.85546979868951878</v>
      </c>
      <c r="G31">
        <v>0.11567314108448203</v>
      </c>
      <c r="H31">
        <v>0.57618978344839666</v>
      </c>
      <c r="T31">
        <v>0.57618978344839666</v>
      </c>
    </row>
    <row r="32" spans="1:20" x14ac:dyDescent="0.3">
      <c r="A32" s="60" t="s">
        <v>44</v>
      </c>
      <c r="B32" s="60" t="s">
        <v>38</v>
      </c>
      <c r="C32" s="60" t="s">
        <v>39</v>
      </c>
      <c r="D32">
        <v>2017</v>
      </c>
      <c r="E32">
        <v>0.71336342975121225</v>
      </c>
      <c r="F32">
        <v>0.89759309123896569</v>
      </c>
      <c r="H32">
        <v>0.80547826049508897</v>
      </c>
      <c r="P32">
        <v>0.65162195007282275</v>
      </c>
      <c r="Q32">
        <v>0.95302835511520045</v>
      </c>
      <c r="R32">
        <v>1</v>
      </c>
      <c r="S32">
        <v>0.97651417755760028</v>
      </c>
      <c r="T32">
        <v>0.72855010528395581</v>
      </c>
    </row>
    <row r="33" spans="1:20" x14ac:dyDescent="0.3">
      <c r="A33" s="60" t="s">
        <v>45</v>
      </c>
      <c r="B33" s="60" t="s">
        <v>26</v>
      </c>
      <c r="C33" s="60" t="s">
        <v>27</v>
      </c>
      <c r="D33">
        <v>2018</v>
      </c>
      <c r="E33">
        <v>6.8116663522250029E-2</v>
      </c>
      <c r="F33">
        <v>0.63049230747529894</v>
      </c>
      <c r="H33">
        <v>0.34930448549877452</v>
      </c>
      <c r="I33">
        <v>96</v>
      </c>
      <c r="J33">
        <v>0.95140000000000002</v>
      </c>
      <c r="K33">
        <v>0.2009</v>
      </c>
      <c r="L33">
        <v>0.5484</v>
      </c>
      <c r="M33">
        <v>0.95509999999999995</v>
      </c>
      <c r="N33">
        <v>15</v>
      </c>
      <c r="O33">
        <v>0.56690000000000007</v>
      </c>
      <c r="T33">
        <v>0.45810224274938727</v>
      </c>
    </row>
    <row r="34" spans="1:20" x14ac:dyDescent="0.3">
      <c r="A34" s="60" t="s">
        <v>46</v>
      </c>
      <c r="B34" s="60" t="s">
        <v>38</v>
      </c>
      <c r="C34" s="60" t="s">
        <v>39</v>
      </c>
      <c r="D34">
        <v>2018</v>
      </c>
      <c r="E34">
        <v>0.73962883648469757</v>
      </c>
      <c r="F34">
        <v>0.86619428685603317</v>
      </c>
      <c r="H34">
        <v>0.80291156167036537</v>
      </c>
      <c r="I34">
        <v>4</v>
      </c>
      <c r="J34">
        <v>0.97919999999999996</v>
      </c>
      <c r="K34">
        <v>0.8004</v>
      </c>
      <c r="L34">
        <v>0.92</v>
      </c>
      <c r="M34">
        <v>0.98309999999999997</v>
      </c>
      <c r="N34">
        <v>5</v>
      </c>
      <c r="O34">
        <v>0.89986666666666659</v>
      </c>
      <c r="T34">
        <v>0.85138911416851593</v>
      </c>
    </row>
    <row r="35" spans="1:20" x14ac:dyDescent="0.3">
      <c r="A35" s="60" t="s">
        <v>47</v>
      </c>
      <c r="B35" s="60" t="s">
        <v>38</v>
      </c>
      <c r="C35" s="60" t="s">
        <v>39</v>
      </c>
      <c r="D35">
        <v>2020</v>
      </c>
      <c r="E35">
        <v>0.77705178047771495</v>
      </c>
      <c r="F35">
        <v>0.78692743631664896</v>
      </c>
      <c r="G35">
        <v>0.14835552865736101</v>
      </c>
      <c r="H35">
        <v>0.57077824848390835</v>
      </c>
      <c r="I35">
        <v>7</v>
      </c>
      <c r="J35">
        <v>0.95879999999999999</v>
      </c>
      <c r="K35">
        <v>0.91949999999999998</v>
      </c>
      <c r="L35">
        <v>0.92920000000000003</v>
      </c>
      <c r="M35">
        <v>0.97619999999999996</v>
      </c>
      <c r="N35">
        <v>6</v>
      </c>
      <c r="O35">
        <v>0.93583333333333341</v>
      </c>
      <c r="T35">
        <v>0.75330579090862093</v>
      </c>
    </row>
    <row r="36" spans="1:20" x14ac:dyDescent="0.3">
      <c r="A36" s="60" t="s">
        <v>48</v>
      </c>
      <c r="B36" s="60" t="s">
        <v>26</v>
      </c>
      <c r="C36" s="60" t="s">
        <v>27</v>
      </c>
      <c r="D36">
        <v>2021</v>
      </c>
      <c r="E36">
        <v>0.21653733444015308</v>
      </c>
      <c r="F36">
        <v>0.57675243250710051</v>
      </c>
      <c r="G36">
        <v>0.11665089246030401</v>
      </c>
      <c r="H36">
        <v>0.30331355313585251</v>
      </c>
      <c r="P36">
        <v>0.17220947435042966</v>
      </c>
      <c r="Q36">
        <v>0.69255583814572097</v>
      </c>
      <c r="R36">
        <v>0.11553990062841643</v>
      </c>
      <c r="S36">
        <v>0.40404786938706871</v>
      </c>
      <c r="T36">
        <v>0.23776151374314108</v>
      </c>
    </row>
    <row r="37" spans="1:20" x14ac:dyDescent="0.3">
      <c r="A37" s="60" t="s">
        <v>49</v>
      </c>
      <c r="B37" s="60" t="s">
        <v>38</v>
      </c>
      <c r="C37" s="60" t="s">
        <v>39</v>
      </c>
      <c r="D37">
        <v>2021</v>
      </c>
      <c r="E37">
        <v>0.81470211228768752</v>
      </c>
      <c r="F37">
        <v>0.88137903455197764</v>
      </c>
      <c r="G37">
        <v>0.2326761001330751</v>
      </c>
      <c r="H37">
        <v>0.64291908232424677</v>
      </c>
      <c r="P37">
        <v>0.61909371686719228</v>
      </c>
      <c r="Q37">
        <v>1</v>
      </c>
      <c r="R37">
        <v>0.89250272841593248</v>
      </c>
      <c r="S37">
        <v>0.94625136420796618</v>
      </c>
      <c r="T37">
        <v>0.63100639959571958</v>
      </c>
    </row>
    <row r="38" spans="1:20" x14ac:dyDescent="0.3">
      <c r="A38" s="60" t="s">
        <v>50</v>
      </c>
      <c r="B38" s="60" t="s">
        <v>26</v>
      </c>
      <c r="C38" s="60" t="s">
        <v>27</v>
      </c>
      <c r="D38">
        <v>2022</v>
      </c>
      <c r="E38">
        <v>0.24904889368920294</v>
      </c>
      <c r="F38">
        <v>0.62886794904926036</v>
      </c>
      <c r="G38">
        <v>0.14009948472362416</v>
      </c>
      <c r="H38">
        <v>0.33933877582069583</v>
      </c>
      <c r="I38">
        <v>105</v>
      </c>
      <c r="J38">
        <v>0.79339999999999999</v>
      </c>
      <c r="K38">
        <v>0.39539999999999997</v>
      </c>
      <c r="L38">
        <v>0.57609999999999995</v>
      </c>
      <c r="M38">
        <v>0.59089999999999998</v>
      </c>
      <c r="N38">
        <v>61</v>
      </c>
      <c r="O38">
        <v>0.58829999999999993</v>
      </c>
      <c r="T38">
        <v>0.46381938791034788</v>
      </c>
    </row>
    <row r="39" spans="1:20" x14ac:dyDescent="0.3">
      <c r="A39" s="60" t="s">
        <v>51</v>
      </c>
      <c r="B39" s="60" t="s">
        <v>38</v>
      </c>
      <c r="C39" s="60" t="s">
        <v>39</v>
      </c>
      <c r="D39">
        <v>2022</v>
      </c>
      <c r="E39">
        <v>0.81976665395696957</v>
      </c>
      <c r="F39">
        <v>0.89883674612129771</v>
      </c>
      <c r="G39">
        <v>0.30431665099830263</v>
      </c>
      <c r="H39">
        <v>0.67430668369218993</v>
      </c>
      <c r="I39">
        <v>11</v>
      </c>
      <c r="J39">
        <v>0.88590000000000002</v>
      </c>
      <c r="K39">
        <v>0.91859999999999997</v>
      </c>
      <c r="L39">
        <v>0.93689999999999996</v>
      </c>
      <c r="M39">
        <v>0.95450000000000002</v>
      </c>
      <c r="N39">
        <v>6</v>
      </c>
      <c r="O39">
        <v>0.91380000000000006</v>
      </c>
      <c r="T39">
        <v>0.794053341846095</v>
      </c>
    </row>
    <row r="40" spans="1:20" x14ac:dyDescent="0.3">
      <c r="A40" s="60" t="s">
        <v>52</v>
      </c>
      <c r="B40" s="60" t="s">
        <v>26</v>
      </c>
      <c r="C40" s="60" t="s">
        <v>27</v>
      </c>
      <c r="D40">
        <v>2023</v>
      </c>
      <c r="E40">
        <v>0.2762261770158761</v>
      </c>
      <c r="F40">
        <v>0.62471784169706501</v>
      </c>
      <c r="G40">
        <v>0.33056898921335509</v>
      </c>
      <c r="H40">
        <v>0.41050433597543207</v>
      </c>
      <c r="T40">
        <v>0.41050433597543207</v>
      </c>
    </row>
    <row r="41" spans="1:20" x14ac:dyDescent="0.3">
      <c r="A41" s="60" t="s">
        <v>53</v>
      </c>
      <c r="B41" s="60" t="s">
        <v>38</v>
      </c>
      <c r="C41" s="60" t="s">
        <v>39</v>
      </c>
      <c r="D41">
        <v>2023</v>
      </c>
      <c r="E41">
        <v>0.82596518488176851</v>
      </c>
      <c r="F41">
        <v>0.91280901902754807</v>
      </c>
      <c r="G41">
        <v>0.37310241911648645</v>
      </c>
      <c r="H41">
        <v>0.70395887434193438</v>
      </c>
      <c r="T41">
        <v>0.70395887434193438</v>
      </c>
    </row>
    <row r="42" spans="1:20" x14ac:dyDescent="0.3">
      <c r="A42" s="60" t="s">
        <v>54</v>
      </c>
      <c r="B42" s="60" t="s">
        <v>26</v>
      </c>
      <c r="C42" s="60" t="s">
        <v>27</v>
      </c>
      <c r="D42">
        <v>2024</v>
      </c>
      <c r="E42">
        <v>0.29958699708292674</v>
      </c>
      <c r="F42">
        <v>0.65556437383067445</v>
      </c>
      <c r="G42">
        <v>0.34083732220951068</v>
      </c>
      <c r="H42">
        <v>0.43199623104103729</v>
      </c>
      <c r="I42">
        <v>97</v>
      </c>
      <c r="J42">
        <v>0.81842000000000004</v>
      </c>
      <c r="K42">
        <v>0.57003999999999999</v>
      </c>
      <c r="L42">
        <v>0.61487000000000003</v>
      </c>
      <c r="M42">
        <v>0.65749999999999997</v>
      </c>
      <c r="N42">
        <v>61</v>
      </c>
      <c r="O42">
        <v>0.66777666666666669</v>
      </c>
      <c r="P42">
        <v>0.48589012585927788</v>
      </c>
      <c r="Q42">
        <v>0.8515132735627402</v>
      </c>
      <c r="R42">
        <v>0.23145079755990572</v>
      </c>
      <c r="S42">
        <v>0.54148203556132302</v>
      </c>
      <c r="T42">
        <v>0.52855434118899391</v>
      </c>
    </row>
    <row r="43" spans="1:20" x14ac:dyDescent="0.3">
      <c r="A43" s="60" t="s">
        <v>55</v>
      </c>
      <c r="B43" s="60" t="s">
        <v>38</v>
      </c>
      <c r="C43" s="60" t="s">
        <v>39</v>
      </c>
      <c r="D43">
        <v>2024</v>
      </c>
      <c r="E43">
        <v>0.82518050283930833</v>
      </c>
      <c r="F43">
        <v>0.91210552243046628</v>
      </c>
      <c r="G43">
        <v>0.47032490967191098</v>
      </c>
      <c r="H43">
        <v>0.73587031164722849</v>
      </c>
      <c r="I43">
        <v>7</v>
      </c>
      <c r="J43">
        <v>0.95348999999999995</v>
      </c>
      <c r="K43">
        <v>0.97467000000000004</v>
      </c>
      <c r="L43">
        <v>0.94498000000000004</v>
      </c>
      <c r="M43">
        <v>0.97260000000000002</v>
      </c>
      <c r="N43">
        <v>4</v>
      </c>
      <c r="O43">
        <v>0.95771333333333342</v>
      </c>
      <c r="T43">
        <v>0.84679182249028095</v>
      </c>
    </row>
    <row r="44" spans="1:20" x14ac:dyDescent="0.3">
      <c r="A44" s="60" t="s">
        <v>56</v>
      </c>
      <c r="B44" s="60" t="s">
        <v>57</v>
      </c>
      <c r="C44" s="60" t="s">
        <v>58</v>
      </c>
      <c r="D44">
        <v>2015</v>
      </c>
      <c r="E44">
        <v>0.49949574697529081</v>
      </c>
      <c r="F44">
        <v>0.85461436208026798</v>
      </c>
      <c r="H44">
        <v>0.67705505452777937</v>
      </c>
      <c r="T44">
        <v>0.67705505452777937</v>
      </c>
    </row>
    <row r="45" spans="1:20" x14ac:dyDescent="0.3">
      <c r="A45" s="60" t="s">
        <v>59</v>
      </c>
      <c r="B45" s="60" t="s">
        <v>57</v>
      </c>
      <c r="C45" s="60" t="s">
        <v>58</v>
      </c>
      <c r="D45">
        <v>2016</v>
      </c>
      <c r="E45">
        <v>0.50034186960350802</v>
      </c>
      <c r="F45">
        <v>0.91027159409043468</v>
      </c>
      <c r="H45">
        <v>0.70530673184697135</v>
      </c>
      <c r="I45">
        <v>29</v>
      </c>
      <c r="J45">
        <v>0.89129999999999998</v>
      </c>
      <c r="K45">
        <v>0.68813000000000002</v>
      </c>
      <c r="L45">
        <v>0.67515999999999998</v>
      </c>
      <c r="M45">
        <v>0.74575999999999998</v>
      </c>
      <c r="N45">
        <v>32</v>
      </c>
      <c r="O45">
        <v>0.75152999999999992</v>
      </c>
      <c r="T45">
        <v>0.72841836592348563</v>
      </c>
    </row>
    <row r="46" spans="1:20" x14ac:dyDescent="0.3">
      <c r="A46" s="60" t="s">
        <v>60</v>
      </c>
      <c r="B46" s="60" t="s">
        <v>57</v>
      </c>
      <c r="C46" s="60" t="s">
        <v>58</v>
      </c>
      <c r="D46">
        <v>2017</v>
      </c>
      <c r="E46">
        <v>0.66587512586129194</v>
      </c>
      <c r="F46">
        <v>0.89433129138824663</v>
      </c>
      <c r="H46">
        <v>0.78010320862476923</v>
      </c>
      <c r="P46">
        <v>0.67466197065130418</v>
      </c>
      <c r="Q46">
        <v>0.84025166415649821</v>
      </c>
      <c r="R46">
        <v>0.54680391240007165</v>
      </c>
      <c r="S46">
        <v>0.69352778827828487</v>
      </c>
      <c r="T46">
        <v>0.7273825896380367</v>
      </c>
    </row>
    <row r="47" spans="1:20" x14ac:dyDescent="0.3">
      <c r="A47" s="60" t="s">
        <v>61</v>
      </c>
      <c r="B47" s="60" t="s">
        <v>57</v>
      </c>
      <c r="C47" s="60" t="s">
        <v>58</v>
      </c>
      <c r="D47">
        <v>2018</v>
      </c>
      <c r="E47">
        <v>0.69392613610249487</v>
      </c>
      <c r="F47">
        <v>0.8921572287747116</v>
      </c>
      <c r="H47">
        <v>0.79304168243860329</v>
      </c>
      <c r="I47">
        <v>21</v>
      </c>
      <c r="J47">
        <v>0.94440000000000002</v>
      </c>
      <c r="K47">
        <v>0.85640000000000005</v>
      </c>
      <c r="L47">
        <v>0.68769999999999998</v>
      </c>
      <c r="M47">
        <v>0.94379999999999997</v>
      </c>
      <c r="N47">
        <v>17</v>
      </c>
      <c r="O47">
        <v>0.82950000000000002</v>
      </c>
      <c r="T47">
        <v>0.81127084121930171</v>
      </c>
    </row>
    <row r="48" spans="1:20" x14ac:dyDescent="0.3">
      <c r="A48" s="60" t="s">
        <v>62</v>
      </c>
      <c r="B48" s="60" t="s">
        <v>57</v>
      </c>
      <c r="C48" s="60" t="s">
        <v>58</v>
      </c>
      <c r="D48">
        <v>2019</v>
      </c>
      <c r="E48">
        <v>0.71774356235161052</v>
      </c>
      <c r="F48">
        <v>0.8921572287747116</v>
      </c>
      <c r="G48">
        <v>0.18035698706627912</v>
      </c>
      <c r="H48">
        <v>0.59675259273086712</v>
      </c>
      <c r="T48">
        <v>0.59675259273086712</v>
      </c>
    </row>
    <row r="49" spans="1:20" x14ac:dyDescent="0.3">
      <c r="A49" s="60" t="s">
        <v>63</v>
      </c>
      <c r="B49" s="60" t="s">
        <v>57</v>
      </c>
      <c r="C49" s="60" t="s">
        <v>58</v>
      </c>
      <c r="D49">
        <v>2020</v>
      </c>
      <c r="E49">
        <v>0.92467424597591552</v>
      </c>
      <c r="F49">
        <v>0.90192612030562724</v>
      </c>
      <c r="G49">
        <v>0.37949671635792626</v>
      </c>
      <c r="H49">
        <v>0.73536569421315634</v>
      </c>
      <c r="I49">
        <v>21</v>
      </c>
      <c r="J49">
        <v>0.9</v>
      </c>
      <c r="K49">
        <v>0.93440000000000001</v>
      </c>
      <c r="L49">
        <v>0.73199999999999998</v>
      </c>
      <c r="M49">
        <v>0.9405</v>
      </c>
      <c r="N49">
        <v>16</v>
      </c>
      <c r="O49">
        <v>0.8554666666666666</v>
      </c>
      <c r="T49">
        <v>0.79541618043991147</v>
      </c>
    </row>
    <row r="50" spans="1:20" x14ac:dyDescent="0.3">
      <c r="A50" s="60" t="s">
        <v>64</v>
      </c>
      <c r="B50" s="60" t="s">
        <v>57</v>
      </c>
      <c r="C50" s="60" t="s">
        <v>58</v>
      </c>
      <c r="D50">
        <v>2021</v>
      </c>
      <c r="E50">
        <v>0.93215748196173653</v>
      </c>
      <c r="F50">
        <v>0.92323444095583662</v>
      </c>
      <c r="G50">
        <v>0.71426405385255509</v>
      </c>
      <c r="H50">
        <v>0.85655199225670942</v>
      </c>
      <c r="P50">
        <v>0.45407506976999107</v>
      </c>
      <c r="Q50">
        <v>0.80612247349259258</v>
      </c>
      <c r="R50">
        <v>0.18827624214110511</v>
      </c>
      <c r="S50">
        <v>0.49719935781684887</v>
      </c>
      <c r="T50">
        <v>0.65531353101335021</v>
      </c>
    </row>
    <row r="51" spans="1:20" x14ac:dyDescent="0.3">
      <c r="A51" s="60" t="s">
        <v>65</v>
      </c>
      <c r="B51" s="60" t="s">
        <v>57</v>
      </c>
      <c r="C51" s="60" t="s">
        <v>58</v>
      </c>
      <c r="D51">
        <v>2022</v>
      </c>
      <c r="E51">
        <v>0.9101566582328261</v>
      </c>
      <c r="F51">
        <v>0.8957383944734596</v>
      </c>
      <c r="G51">
        <v>0.6476811789615633</v>
      </c>
      <c r="H51">
        <v>0.81785874388928304</v>
      </c>
      <c r="I51">
        <v>13</v>
      </c>
      <c r="J51">
        <v>0.90139999999999998</v>
      </c>
      <c r="K51">
        <v>0.93059999999999998</v>
      </c>
      <c r="L51">
        <v>0.87109999999999999</v>
      </c>
      <c r="M51">
        <v>0.78410000000000002</v>
      </c>
      <c r="N51">
        <v>18</v>
      </c>
      <c r="O51">
        <v>0.90103333333333335</v>
      </c>
      <c r="T51">
        <v>0.85944603861130819</v>
      </c>
    </row>
    <row r="52" spans="1:20" x14ac:dyDescent="0.3">
      <c r="A52" s="60" t="s">
        <v>66</v>
      </c>
      <c r="B52" s="60" t="s">
        <v>57</v>
      </c>
      <c r="C52" s="60" t="s">
        <v>58</v>
      </c>
      <c r="D52">
        <v>2023</v>
      </c>
      <c r="E52">
        <v>0.90521496156280523</v>
      </c>
      <c r="F52">
        <v>0.96276919497418523</v>
      </c>
      <c r="G52">
        <v>0.80680432111056599</v>
      </c>
      <c r="H52">
        <v>0.89159615921585211</v>
      </c>
      <c r="T52">
        <v>0.89159615921585211</v>
      </c>
    </row>
    <row r="53" spans="1:20" x14ac:dyDescent="0.3">
      <c r="A53" s="60" t="s">
        <v>67</v>
      </c>
      <c r="B53" s="60" t="s">
        <v>57</v>
      </c>
      <c r="C53" s="60" t="s">
        <v>58</v>
      </c>
      <c r="D53">
        <v>2024</v>
      </c>
      <c r="E53">
        <v>0.90362130030310173</v>
      </c>
      <c r="F53">
        <v>0.96979053229012302</v>
      </c>
      <c r="G53">
        <v>1</v>
      </c>
      <c r="H53">
        <v>0.95780394419774162</v>
      </c>
      <c r="I53">
        <v>11</v>
      </c>
      <c r="J53">
        <v>0.91627000000000003</v>
      </c>
      <c r="K53">
        <v>1</v>
      </c>
      <c r="L53">
        <v>0.94355</v>
      </c>
      <c r="M53">
        <v>0.78080000000000005</v>
      </c>
      <c r="N53">
        <v>37</v>
      </c>
      <c r="O53">
        <v>0.95327333333333331</v>
      </c>
      <c r="T53">
        <v>0.95553863876553746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D44D4-E99D-4B4E-9870-BAFDF62D87B6}">
  <dimension ref="A1:G14"/>
  <sheetViews>
    <sheetView workbookViewId="0"/>
  </sheetViews>
  <sheetFormatPr defaultRowHeight="14.4" x14ac:dyDescent="0.3"/>
  <cols>
    <col min="1" max="1" width="10.33203125" bestFit="1" customWidth="1"/>
    <col min="2" max="2" width="15.44140625" bestFit="1" customWidth="1"/>
    <col min="3" max="3" width="18.44140625" bestFit="1" customWidth="1"/>
    <col min="4" max="4" width="6.88671875" bestFit="1" customWidth="1"/>
    <col min="5" max="5" width="14.44140625" bestFit="1" customWidth="1"/>
    <col min="6" max="6" width="14" bestFit="1" customWidth="1"/>
    <col min="7" max="7" width="12" bestFit="1" customWidth="1"/>
  </cols>
  <sheetData>
    <row r="1" spans="1:7" x14ac:dyDescent="0.3">
      <c r="A1" t="s">
        <v>0</v>
      </c>
      <c r="B1" t="s">
        <v>1</v>
      </c>
      <c r="C1" t="s">
        <v>2</v>
      </c>
      <c r="D1" t="s">
        <v>3</v>
      </c>
      <c r="E1" t="s">
        <v>4</v>
      </c>
      <c r="F1" t="s">
        <v>76</v>
      </c>
      <c r="G1" t="s">
        <v>77</v>
      </c>
    </row>
    <row r="2" spans="1:7" x14ac:dyDescent="0.3">
      <c r="A2" t="s">
        <v>24</v>
      </c>
      <c r="B2" t="s">
        <v>9</v>
      </c>
      <c r="C2" t="s">
        <v>10</v>
      </c>
      <c r="D2">
        <v>2017</v>
      </c>
      <c r="E2">
        <v>7.3844151490551624E-2</v>
      </c>
      <c r="F2">
        <v>3.5020894510343674E-2</v>
      </c>
      <c r="G2">
        <v>5.4432523000447652E-2</v>
      </c>
    </row>
    <row r="3" spans="1:7" x14ac:dyDescent="0.3">
      <c r="A3" t="s">
        <v>42</v>
      </c>
      <c r="B3" t="s">
        <v>26</v>
      </c>
      <c r="C3" t="s">
        <v>27</v>
      </c>
      <c r="D3">
        <v>2017</v>
      </c>
      <c r="E3">
        <v>0.72499797288126133</v>
      </c>
      <c r="F3">
        <v>0.14090106545890502</v>
      </c>
      <c r="G3">
        <v>0.43294951917008317</v>
      </c>
    </row>
    <row r="4" spans="1:7" x14ac:dyDescent="0.3">
      <c r="A4" t="s">
        <v>20</v>
      </c>
      <c r="B4" t="s">
        <v>12</v>
      </c>
      <c r="C4" t="s">
        <v>13</v>
      </c>
      <c r="D4">
        <v>2017</v>
      </c>
      <c r="E4">
        <v>0.61192697363364057</v>
      </c>
      <c r="F4">
        <v>0.20962423243591372</v>
      </c>
      <c r="G4">
        <v>0.41077560303477711</v>
      </c>
    </row>
    <row r="5" spans="1:7" x14ac:dyDescent="0.3">
      <c r="A5" t="s">
        <v>60</v>
      </c>
      <c r="B5" t="s">
        <v>57</v>
      </c>
      <c r="C5" t="s">
        <v>58</v>
      </c>
      <c r="D5">
        <v>2017</v>
      </c>
      <c r="E5">
        <v>0.84025166415649821</v>
      </c>
      <c r="F5">
        <v>0.54680391240007165</v>
      </c>
      <c r="G5">
        <v>0.69352778827828487</v>
      </c>
    </row>
    <row r="6" spans="1:7" x14ac:dyDescent="0.3">
      <c r="A6" t="s">
        <v>44</v>
      </c>
      <c r="B6" t="s">
        <v>38</v>
      </c>
      <c r="C6" t="s">
        <v>39</v>
      </c>
      <c r="D6">
        <v>2017</v>
      </c>
      <c r="E6">
        <v>0.95302835511520045</v>
      </c>
      <c r="F6">
        <v>1</v>
      </c>
      <c r="G6">
        <v>0.97651417755760028</v>
      </c>
    </row>
    <row r="7" spans="1:7" x14ac:dyDescent="0.3">
      <c r="A7" t="s">
        <v>32</v>
      </c>
      <c r="B7" t="s">
        <v>9</v>
      </c>
      <c r="C7" t="s">
        <v>10</v>
      </c>
      <c r="D7">
        <v>2021</v>
      </c>
      <c r="E7">
        <v>0</v>
      </c>
      <c r="F7">
        <v>0</v>
      </c>
      <c r="G7">
        <v>0</v>
      </c>
    </row>
    <row r="8" spans="1:7" x14ac:dyDescent="0.3">
      <c r="A8" t="s">
        <v>48</v>
      </c>
      <c r="B8" t="s">
        <v>26</v>
      </c>
      <c r="C8" t="s">
        <v>27</v>
      </c>
      <c r="D8">
        <v>2021</v>
      </c>
      <c r="E8">
        <v>0.69255583814572097</v>
      </c>
      <c r="F8">
        <v>0.11553990062841643</v>
      </c>
      <c r="G8">
        <v>0.40404786938706871</v>
      </c>
    </row>
    <row r="9" spans="1:7" x14ac:dyDescent="0.3">
      <c r="A9" t="s">
        <v>17</v>
      </c>
      <c r="B9" t="s">
        <v>12</v>
      </c>
      <c r="C9" t="s">
        <v>13</v>
      </c>
      <c r="D9">
        <v>2021</v>
      </c>
      <c r="E9">
        <v>0.64819158469226623</v>
      </c>
      <c r="F9">
        <v>0.48412670734849028</v>
      </c>
      <c r="G9">
        <v>0.56615914602037831</v>
      </c>
    </row>
    <row r="10" spans="1:7" x14ac:dyDescent="0.3">
      <c r="A10" t="s">
        <v>64</v>
      </c>
      <c r="B10" t="s">
        <v>57</v>
      </c>
      <c r="C10" t="s">
        <v>58</v>
      </c>
      <c r="D10">
        <v>2021</v>
      </c>
      <c r="E10">
        <v>0.80612247349259258</v>
      </c>
      <c r="F10">
        <v>0.18827624214110511</v>
      </c>
      <c r="G10">
        <v>0.49719935781684887</v>
      </c>
    </row>
    <row r="11" spans="1:7" x14ac:dyDescent="0.3">
      <c r="A11" t="s">
        <v>49</v>
      </c>
      <c r="B11" t="s">
        <v>38</v>
      </c>
      <c r="C11" t="s">
        <v>39</v>
      </c>
      <c r="D11">
        <v>2021</v>
      </c>
      <c r="E11">
        <v>1</v>
      </c>
      <c r="F11">
        <v>0.89250272841593248</v>
      </c>
      <c r="G11">
        <v>0.94625136420796618</v>
      </c>
    </row>
    <row r="12" spans="1:7" x14ac:dyDescent="0.3">
      <c r="A12" t="s">
        <v>35</v>
      </c>
      <c r="B12" t="s">
        <v>9</v>
      </c>
      <c r="C12" t="s">
        <v>10</v>
      </c>
      <c r="D12">
        <v>2024</v>
      </c>
      <c r="E12">
        <v>0.21667021098952782</v>
      </c>
      <c r="F12">
        <v>5.4898462549660285E-2</v>
      </c>
      <c r="G12">
        <v>0.13578433676959406</v>
      </c>
    </row>
    <row r="13" spans="1:7" x14ac:dyDescent="0.3">
      <c r="A13" t="s">
        <v>54</v>
      </c>
      <c r="B13" t="s">
        <v>26</v>
      </c>
      <c r="C13" t="s">
        <v>27</v>
      </c>
      <c r="D13">
        <v>2024</v>
      </c>
      <c r="E13">
        <v>0.8515132735627402</v>
      </c>
      <c r="F13">
        <v>0.23145079755990572</v>
      </c>
      <c r="G13">
        <v>0.54148203556132302</v>
      </c>
    </row>
    <row r="14" spans="1:7" x14ac:dyDescent="0.3">
      <c r="A14" t="s">
        <v>23</v>
      </c>
      <c r="B14" t="s">
        <v>12</v>
      </c>
      <c r="C14" t="s">
        <v>13</v>
      </c>
      <c r="D14">
        <v>2024</v>
      </c>
      <c r="E14">
        <v>0.71069505186128101</v>
      </c>
      <c r="F14">
        <v>0.48011869182857209</v>
      </c>
      <c r="G14">
        <v>0.59540687184492658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712F6-05D8-4156-898A-EDF501A77BB5}">
  <dimension ref="A1:E17"/>
  <sheetViews>
    <sheetView workbookViewId="0"/>
  </sheetViews>
  <sheetFormatPr defaultRowHeight="14.4" x14ac:dyDescent="0.3"/>
  <cols>
    <col min="1" max="1" width="10.33203125" bestFit="1" customWidth="1"/>
    <col min="2" max="2" width="15.44140625" bestFit="1" customWidth="1"/>
    <col min="3" max="3" width="18.44140625" bestFit="1" customWidth="1"/>
    <col min="4" max="4" width="6.88671875" bestFit="1" customWidth="1"/>
    <col min="5" max="5" width="23.77734375" bestFit="1" customWidth="1"/>
  </cols>
  <sheetData>
    <row r="1" spans="1:5" x14ac:dyDescent="0.3">
      <c r="A1" t="s">
        <v>0</v>
      </c>
      <c r="B1" t="s">
        <v>1</v>
      </c>
      <c r="C1" t="s">
        <v>2</v>
      </c>
      <c r="D1" t="s">
        <v>3</v>
      </c>
      <c r="E1" t="s">
        <v>75</v>
      </c>
    </row>
    <row r="2" spans="1:5" x14ac:dyDescent="0.3">
      <c r="A2" t="s">
        <v>24</v>
      </c>
      <c r="B2" t="s">
        <v>9</v>
      </c>
      <c r="C2" t="s">
        <v>10</v>
      </c>
      <c r="D2">
        <v>2017</v>
      </c>
      <c r="E2">
        <v>1.6683175337813053E-2</v>
      </c>
    </row>
    <row r="3" spans="1:5" x14ac:dyDescent="0.3">
      <c r="A3" t="s">
        <v>42</v>
      </c>
      <c r="B3" t="s">
        <v>26</v>
      </c>
      <c r="C3" t="s">
        <v>27</v>
      </c>
      <c r="D3">
        <v>2017</v>
      </c>
      <c r="E3">
        <v>3.9786186144369205E-2</v>
      </c>
    </row>
    <row r="4" spans="1:5" x14ac:dyDescent="0.3">
      <c r="A4" t="s">
        <v>20</v>
      </c>
      <c r="B4" t="s">
        <v>12</v>
      </c>
      <c r="C4" t="s">
        <v>13</v>
      </c>
      <c r="D4">
        <v>2017</v>
      </c>
      <c r="E4">
        <v>0.41498030331004354</v>
      </c>
    </row>
    <row r="5" spans="1:5" x14ac:dyDescent="0.3">
      <c r="A5" t="s">
        <v>60</v>
      </c>
      <c r="B5" t="s">
        <v>57</v>
      </c>
      <c r="C5" t="s">
        <v>58</v>
      </c>
      <c r="D5">
        <v>2017</v>
      </c>
      <c r="E5">
        <v>0.67466197065130418</v>
      </c>
    </row>
    <row r="6" spans="1:5" x14ac:dyDescent="0.3">
      <c r="A6" t="s">
        <v>44</v>
      </c>
      <c r="B6" t="s">
        <v>38</v>
      </c>
      <c r="C6" t="s">
        <v>39</v>
      </c>
      <c r="D6">
        <v>2017</v>
      </c>
      <c r="E6">
        <v>0.65162195007282275</v>
      </c>
    </row>
    <row r="7" spans="1:5" x14ac:dyDescent="0.3">
      <c r="A7" t="s">
        <v>32</v>
      </c>
      <c r="B7" t="s">
        <v>9</v>
      </c>
      <c r="C7" t="s">
        <v>10</v>
      </c>
      <c r="D7">
        <v>2021</v>
      </c>
      <c r="E7">
        <v>1.6183336258612589E-2</v>
      </c>
    </row>
    <row r="8" spans="1:5" x14ac:dyDescent="0.3">
      <c r="A8" t="s">
        <v>48</v>
      </c>
      <c r="B8" t="s">
        <v>26</v>
      </c>
      <c r="C8" t="s">
        <v>27</v>
      </c>
      <c r="D8">
        <v>2021</v>
      </c>
      <c r="E8">
        <v>0.17220947435042966</v>
      </c>
    </row>
    <row r="9" spans="1:5" x14ac:dyDescent="0.3">
      <c r="A9" t="s">
        <v>17</v>
      </c>
      <c r="B9" t="s">
        <v>12</v>
      </c>
      <c r="C9" t="s">
        <v>13</v>
      </c>
      <c r="D9">
        <v>2021</v>
      </c>
      <c r="E9">
        <v>0.75041190041764538</v>
      </c>
    </row>
    <row r="10" spans="1:5" x14ac:dyDescent="0.3">
      <c r="A10" t="s">
        <v>64</v>
      </c>
      <c r="B10" t="s">
        <v>57</v>
      </c>
      <c r="C10" t="s">
        <v>58</v>
      </c>
      <c r="D10">
        <v>2021</v>
      </c>
      <c r="E10">
        <v>0.45407506976999107</v>
      </c>
    </row>
    <row r="11" spans="1:5" x14ac:dyDescent="0.3">
      <c r="A11" t="s">
        <v>49</v>
      </c>
      <c r="B11" t="s">
        <v>38</v>
      </c>
      <c r="C11" t="s">
        <v>39</v>
      </c>
      <c r="D11">
        <v>2021</v>
      </c>
      <c r="E11">
        <v>0.61909371686719228</v>
      </c>
    </row>
    <row r="12" spans="1:5" x14ac:dyDescent="0.3">
      <c r="A12" t="s">
        <v>35</v>
      </c>
      <c r="B12" t="s">
        <v>9</v>
      </c>
      <c r="C12" t="s">
        <v>10</v>
      </c>
      <c r="D12">
        <v>2024</v>
      </c>
      <c r="E12">
        <v>0.30114029023832745</v>
      </c>
    </row>
    <row r="13" spans="1:5" x14ac:dyDescent="0.3">
      <c r="A13" t="s">
        <v>54</v>
      </c>
      <c r="B13" t="s">
        <v>26</v>
      </c>
      <c r="C13" t="s">
        <v>27</v>
      </c>
      <c r="D13">
        <v>2024</v>
      </c>
      <c r="E13">
        <v>0.48589012585927788</v>
      </c>
    </row>
    <row r="14" spans="1:5" x14ac:dyDescent="0.3">
      <c r="A14" t="s">
        <v>23</v>
      </c>
      <c r="B14" t="s">
        <v>12</v>
      </c>
      <c r="C14" t="s">
        <v>13</v>
      </c>
      <c r="D14">
        <v>2024</v>
      </c>
      <c r="E14">
        <v>0.85156351097590477</v>
      </c>
    </row>
    <row r="15" spans="1:5" x14ac:dyDescent="0.3">
      <c r="A15" t="s">
        <v>55</v>
      </c>
      <c r="B15" t="s">
        <v>38</v>
      </c>
      <c r="C15" t="s">
        <v>39</v>
      </c>
      <c r="D15">
        <v>2024</v>
      </c>
    </row>
    <row r="16" spans="1:5" x14ac:dyDescent="0.3">
      <c r="A16" t="s">
        <v>24</v>
      </c>
      <c r="B16" t="s">
        <v>9</v>
      </c>
      <c r="C16" t="s">
        <v>10</v>
      </c>
      <c r="D16">
        <v>2017</v>
      </c>
      <c r="E16">
        <v>0</v>
      </c>
    </row>
    <row r="17" spans="1:5" x14ac:dyDescent="0.3">
      <c r="A17" t="s">
        <v>32</v>
      </c>
      <c r="B17" t="s">
        <v>9</v>
      </c>
      <c r="C17" t="s">
        <v>10</v>
      </c>
      <c r="D17">
        <v>2021</v>
      </c>
      <c r="E17">
        <v>6.3614991010925185E-3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31A0D-FB1D-4DAD-B2EC-2DEA4573FE0D}">
  <dimension ref="A1:K26"/>
  <sheetViews>
    <sheetView workbookViewId="0"/>
  </sheetViews>
  <sheetFormatPr defaultRowHeight="14.4" x14ac:dyDescent="0.3"/>
  <cols>
    <col min="1" max="1" width="10.33203125" bestFit="1" customWidth="1"/>
    <col min="2" max="2" width="15.44140625" bestFit="1" customWidth="1"/>
    <col min="3" max="3" width="18.44140625" bestFit="1" customWidth="1"/>
    <col min="4" max="4" width="6.88671875" bestFit="1" customWidth="1"/>
    <col min="5" max="5" width="12.44140625" bestFit="1" customWidth="1"/>
    <col min="6" max="6" width="11.88671875" bestFit="1" customWidth="1"/>
    <col min="7" max="7" width="11.109375" bestFit="1" customWidth="1"/>
    <col min="8" max="8" width="11.88671875" bestFit="1" customWidth="1"/>
    <col min="9" max="9" width="11.6640625" bestFit="1" customWidth="1"/>
    <col min="10" max="10" width="11.109375" bestFit="1" customWidth="1"/>
    <col min="11" max="11" width="14.6640625" bestFit="1" customWidth="1"/>
  </cols>
  <sheetData>
    <row r="1" spans="1:11" x14ac:dyDescent="0.3">
      <c r="A1" t="s">
        <v>0</v>
      </c>
      <c r="B1" t="s">
        <v>1</v>
      </c>
      <c r="C1" t="s">
        <v>2</v>
      </c>
      <c r="D1" t="s">
        <v>3</v>
      </c>
      <c r="E1" t="s">
        <v>68</v>
      </c>
      <c r="F1" t="s">
        <v>69</v>
      </c>
      <c r="G1" t="s">
        <v>70</v>
      </c>
      <c r="H1" t="s">
        <v>71</v>
      </c>
      <c r="I1" t="s">
        <v>72</v>
      </c>
      <c r="J1" t="s">
        <v>73</v>
      </c>
      <c r="K1" t="s">
        <v>74</v>
      </c>
    </row>
    <row r="2" spans="1:11" x14ac:dyDescent="0.3">
      <c r="A2" t="s">
        <v>35</v>
      </c>
      <c r="B2" t="s">
        <v>9</v>
      </c>
      <c r="C2" t="s">
        <v>10</v>
      </c>
      <c r="D2">
        <v>2024</v>
      </c>
      <c r="E2">
        <v>95</v>
      </c>
      <c r="F2">
        <v>0.70016</v>
      </c>
      <c r="G2">
        <v>0.69455999999999996</v>
      </c>
      <c r="H2">
        <v>0.61502999999999997</v>
      </c>
      <c r="I2">
        <v>0.58899999999999997</v>
      </c>
      <c r="J2">
        <v>74</v>
      </c>
      <c r="K2">
        <v>0.6699166666666666</v>
      </c>
    </row>
    <row r="3" spans="1:11" x14ac:dyDescent="0.3">
      <c r="A3" t="s">
        <v>33</v>
      </c>
      <c r="B3" t="s">
        <v>9</v>
      </c>
      <c r="C3" t="s">
        <v>10</v>
      </c>
      <c r="D3">
        <v>2022</v>
      </c>
      <c r="E3">
        <v>103</v>
      </c>
      <c r="F3">
        <v>0.57299999999999995</v>
      </c>
      <c r="G3">
        <v>0.55789999999999995</v>
      </c>
      <c r="H3">
        <v>0.63749999999999996</v>
      </c>
      <c r="I3">
        <v>0.3523</v>
      </c>
      <c r="J3">
        <v>107</v>
      </c>
      <c r="K3">
        <v>0.58946666666666669</v>
      </c>
    </row>
    <row r="4" spans="1:11" x14ac:dyDescent="0.3">
      <c r="A4" t="s">
        <v>31</v>
      </c>
      <c r="B4" t="s">
        <v>9</v>
      </c>
      <c r="C4" t="s">
        <v>10</v>
      </c>
      <c r="D4">
        <v>2020</v>
      </c>
      <c r="E4">
        <v>111</v>
      </c>
      <c r="F4">
        <v>0.5706</v>
      </c>
      <c r="G4">
        <v>0.46829999999999999</v>
      </c>
      <c r="H4">
        <v>0.61919999999999997</v>
      </c>
      <c r="I4">
        <v>0.51190000000000002</v>
      </c>
      <c r="J4">
        <v>106</v>
      </c>
      <c r="K4">
        <v>0.55269999999999997</v>
      </c>
    </row>
    <row r="5" spans="1:11" x14ac:dyDescent="0.3">
      <c r="A5" t="s">
        <v>29</v>
      </c>
      <c r="B5" t="s">
        <v>9</v>
      </c>
      <c r="C5" t="s">
        <v>10</v>
      </c>
      <c r="D5">
        <v>2018</v>
      </c>
      <c r="E5">
        <v>114</v>
      </c>
      <c r="F5">
        <v>0.53469999999999995</v>
      </c>
      <c r="G5">
        <v>0.32219999999999999</v>
      </c>
      <c r="H5">
        <v>0.60719999999999996</v>
      </c>
      <c r="I5">
        <v>0.5393</v>
      </c>
      <c r="J5">
        <v>109</v>
      </c>
      <c r="K5">
        <v>0.48803333333333332</v>
      </c>
    </row>
    <row r="6" spans="1:11" x14ac:dyDescent="0.3">
      <c r="A6" t="s">
        <v>18</v>
      </c>
      <c r="B6" t="s">
        <v>9</v>
      </c>
      <c r="C6" t="s">
        <v>10</v>
      </c>
      <c r="D6">
        <v>2016</v>
      </c>
      <c r="E6">
        <v>108</v>
      </c>
      <c r="F6">
        <v>0.47100999999999998</v>
      </c>
      <c r="G6">
        <v>0.30246000000000001</v>
      </c>
      <c r="H6">
        <v>0.60475999999999996</v>
      </c>
      <c r="I6">
        <v>0.40677999999999997</v>
      </c>
      <c r="J6">
        <v>107</v>
      </c>
      <c r="K6">
        <v>0.45940999999999993</v>
      </c>
    </row>
    <row r="7" spans="1:11" x14ac:dyDescent="0.3">
      <c r="A7" t="s">
        <v>54</v>
      </c>
      <c r="B7" t="s">
        <v>26</v>
      </c>
      <c r="C7" t="s">
        <v>27</v>
      </c>
      <c r="D7">
        <v>2024</v>
      </c>
      <c r="E7">
        <v>97</v>
      </c>
      <c r="F7">
        <v>0.81842000000000004</v>
      </c>
      <c r="G7">
        <v>0.57003999999999999</v>
      </c>
      <c r="H7">
        <v>0.61487000000000003</v>
      </c>
      <c r="I7">
        <v>0.65749999999999997</v>
      </c>
      <c r="J7">
        <v>61</v>
      </c>
      <c r="K7">
        <v>0.66777666666666669</v>
      </c>
    </row>
    <row r="8" spans="1:11" x14ac:dyDescent="0.3">
      <c r="A8" t="s">
        <v>50</v>
      </c>
      <c r="B8" t="s">
        <v>26</v>
      </c>
      <c r="C8" t="s">
        <v>27</v>
      </c>
      <c r="D8">
        <v>2022</v>
      </c>
      <c r="E8">
        <v>105</v>
      </c>
      <c r="F8">
        <v>0.79339999999999999</v>
      </c>
      <c r="G8">
        <v>0.39539999999999997</v>
      </c>
      <c r="H8">
        <v>0.57609999999999995</v>
      </c>
      <c r="I8">
        <v>0.59089999999999998</v>
      </c>
      <c r="J8">
        <v>61</v>
      </c>
      <c r="K8">
        <v>0.58829999999999993</v>
      </c>
    </row>
    <row r="9" spans="1:11" x14ac:dyDescent="0.3">
      <c r="A9" t="s">
        <v>28</v>
      </c>
      <c r="B9" t="s">
        <v>26</v>
      </c>
      <c r="C9" t="s">
        <v>27</v>
      </c>
      <c r="D9">
        <v>2020</v>
      </c>
      <c r="E9">
        <v>100</v>
      </c>
      <c r="F9">
        <v>0.85289999999999999</v>
      </c>
      <c r="G9">
        <v>0.35149999999999998</v>
      </c>
      <c r="H9">
        <v>0.58479999999999999</v>
      </c>
      <c r="I9">
        <v>0.85709999999999997</v>
      </c>
      <c r="J9">
        <v>29</v>
      </c>
      <c r="K9">
        <v>0.59639999999999993</v>
      </c>
    </row>
    <row r="10" spans="1:11" x14ac:dyDescent="0.3">
      <c r="A10" t="s">
        <v>45</v>
      </c>
      <c r="B10" t="s">
        <v>26</v>
      </c>
      <c r="C10" t="s">
        <v>27</v>
      </c>
      <c r="D10">
        <v>2018</v>
      </c>
      <c r="E10">
        <v>96</v>
      </c>
      <c r="F10">
        <v>0.95140000000000002</v>
      </c>
      <c r="G10">
        <v>0.2009</v>
      </c>
      <c r="H10">
        <v>0.5484</v>
      </c>
      <c r="I10">
        <v>0.95509999999999995</v>
      </c>
      <c r="J10">
        <v>15</v>
      </c>
      <c r="K10">
        <v>0.56690000000000007</v>
      </c>
    </row>
    <row r="11" spans="1:11" x14ac:dyDescent="0.3">
      <c r="A11" t="s">
        <v>40</v>
      </c>
      <c r="B11" t="s">
        <v>26</v>
      </c>
      <c r="C11" t="s">
        <v>27</v>
      </c>
      <c r="D11">
        <v>2016</v>
      </c>
      <c r="E11">
        <v>107</v>
      </c>
      <c r="F11">
        <v>0.74638000000000004</v>
      </c>
      <c r="G11">
        <v>0.14298</v>
      </c>
      <c r="H11">
        <v>0.50188999999999995</v>
      </c>
      <c r="I11">
        <v>0.76271</v>
      </c>
      <c r="J11">
        <v>27</v>
      </c>
      <c r="K11">
        <v>0.46374999999999994</v>
      </c>
    </row>
    <row r="12" spans="1:11" x14ac:dyDescent="0.3">
      <c r="A12" t="s">
        <v>23</v>
      </c>
      <c r="B12" t="s">
        <v>12</v>
      </c>
      <c r="C12" t="s">
        <v>13</v>
      </c>
      <c r="D12">
        <v>2024</v>
      </c>
      <c r="E12">
        <v>6</v>
      </c>
      <c r="F12">
        <v>0.98995</v>
      </c>
      <c r="G12">
        <v>0.98411000000000004</v>
      </c>
      <c r="H12">
        <v>0.90666000000000002</v>
      </c>
      <c r="I12">
        <v>0.95889999999999997</v>
      </c>
      <c r="J12">
        <v>7</v>
      </c>
      <c r="K12">
        <v>0.96024000000000009</v>
      </c>
    </row>
    <row r="13" spans="1:11" x14ac:dyDescent="0.3">
      <c r="A13" t="s">
        <v>19</v>
      </c>
      <c r="B13" t="s">
        <v>12</v>
      </c>
      <c r="C13" t="s">
        <v>13</v>
      </c>
      <c r="D13">
        <v>2022</v>
      </c>
      <c r="E13">
        <v>31</v>
      </c>
      <c r="F13">
        <v>0.82199999999999995</v>
      </c>
      <c r="G13">
        <v>0.87350000000000005</v>
      </c>
      <c r="H13">
        <v>0.86619999999999997</v>
      </c>
      <c r="I13">
        <v>0.69320000000000004</v>
      </c>
      <c r="J13">
        <v>43</v>
      </c>
      <c r="K13">
        <v>0.85389999999999999</v>
      </c>
    </row>
    <row r="14" spans="1:11" x14ac:dyDescent="0.3">
      <c r="A14" t="s">
        <v>15</v>
      </c>
      <c r="B14" t="s">
        <v>12</v>
      </c>
      <c r="C14" t="s">
        <v>13</v>
      </c>
      <c r="D14">
        <v>2020</v>
      </c>
      <c r="E14">
        <v>43</v>
      </c>
      <c r="F14">
        <v>0.68820000000000003</v>
      </c>
      <c r="G14">
        <v>0.84419999999999995</v>
      </c>
      <c r="H14">
        <v>0.86480000000000001</v>
      </c>
      <c r="I14">
        <v>0.71430000000000005</v>
      </c>
      <c r="J14">
        <v>66</v>
      </c>
      <c r="K14">
        <v>0.79906666666666659</v>
      </c>
    </row>
    <row r="15" spans="1:11" x14ac:dyDescent="0.3">
      <c r="A15" t="s">
        <v>22</v>
      </c>
      <c r="B15" t="s">
        <v>12</v>
      </c>
      <c r="C15" t="s">
        <v>13</v>
      </c>
      <c r="D15">
        <v>2018</v>
      </c>
      <c r="E15">
        <v>52</v>
      </c>
      <c r="F15">
        <v>0.79169999999999996</v>
      </c>
      <c r="G15">
        <v>0.53390000000000004</v>
      </c>
      <c r="H15">
        <v>0.81010000000000004</v>
      </c>
      <c r="I15">
        <v>0.71350000000000002</v>
      </c>
      <c r="J15">
        <v>67</v>
      </c>
      <c r="K15">
        <v>0.71189999999999998</v>
      </c>
    </row>
    <row r="16" spans="1:11" x14ac:dyDescent="0.3">
      <c r="A16" t="s">
        <v>16</v>
      </c>
      <c r="B16" t="s">
        <v>12</v>
      </c>
      <c r="C16" t="s">
        <v>13</v>
      </c>
      <c r="D16">
        <v>2016</v>
      </c>
      <c r="E16">
        <v>44</v>
      </c>
      <c r="F16">
        <v>0.67391000000000001</v>
      </c>
      <c r="G16">
        <v>0.57333999999999996</v>
      </c>
      <c r="H16">
        <v>0.79945999999999995</v>
      </c>
      <c r="I16">
        <v>0.71186000000000005</v>
      </c>
      <c r="J16">
        <v>39</v>
      </c>
      <c r="K16">
        <v>0.68223666666666671</v>
      </c>
    </row>
    <row r="17" spans="1:11" x14ac:dyDescent="0.3">
      <c r="A17" t="s">
        <v>67</v>
      </c>
      <c r="B17" t="s">
        <v>57</v>
      </c>
      <c r="C17" t="s">
        <v>58</v>
      </c>
      <c r="D17">
        <v>2024</v>
      </c>
      <c r="E17">
        <v>11</v>
      </c>
      <c r="F17">
        <v>0.91627000000000003</v>
      </c>
      <c r="G17">
        <v>1</v>
      </c>
      <c r="H17">
        <v>0.94355</v>
      </c>
      <c r="I17">
        <v>0.78080000000000005</v>
      </c>
      <c r="J17">
        <v>37</v>
      </c>
      <c r="K17">
        <v>0.95327333333333331</v>
      </c>
    </row>
    <row r="18" spans="1:11" x14ac:dyDescent="0.3">
      <c r="A18" t="s">
        <v>65</v>
      </c>
      <c r="B18" t="s">
        <v>57</v>
      </c>
      <c r="C18" t="s">
        <v>58</v>
      </c>
      <c r="D18">
        <v>2022</v>
      </c>
      <c r="E18">
        <v>13</v>
      </c>
      <c r="F18">
        <v>0.90139999999999998</v>
      </c>
      <c r="G18">
        <v>0.93059999999999998</v>
      </c>
      <c r="H18">
        <v>0.87109999999999999</v>
      </c>
      <c r="I18">
        <v>0.78410000000000002</v>
      </c>
      <c r="J18">
        <v>18</v>
      </c>
      <c r="K18">
        <v>0.90103333333333335</v>
      </c>
    </row>
    <row r="19" spans="1:11" x14ac:dyDescent="0.3">
      <c r="A19" t="s">
        <v>63</v>
      </c>
      <c r="B19" t="s">
        <v>57</v>
      </c>
      <c r="C19" t="s">
        <v>58</v>
      </c>
      <c r="D19">
        <v>2020</v>
      </c>
      <c r="E19">
        <v>21</v>
      </c>
      <c r="F19">
        <v>0.9</v>
      </c>
      <c r="G19">
        <v>0.93440000000000001</v>
      </c>
      <c r="H19">
        <v>0.73199999999999998</v>
      </c>
      <c r="I19">
        <v>0.9405</v>
      </c>
      <c r="J19">
        <v>16</v>
      </c>
      <c r="K19">
        <v>0.8554666666666666</v>
      </c>
    </row>
    <row r="20" spans="1:11" x14ac:dyDescent="0.3">
      <c r="A20" t="s">
        <v>61</v>
      </c>
      <c r="B20" t="s">
        <v>57</v>
      </c>
      <c r="C20" t="s">
        <v>58</v>
      </c>
      <c r="D20">
        <v>2018</v>
      </c>
      <c r="E20">
        <v>21</v>
      </c>
      <c r="F20">
        <v>0.94440000000000002</v>
      </c>
      <c r="G20">
        <v>0.85640000000000005</v>
      </c>
      <c r="H20">
        <v>0.68769999999999998</v>
      </c>
      <c r="I20">
        <v>0.94379999999999997</v>
      </c>
      <c r="J20">
        <v>17</v>
      </c>
      <c r="K20">
        <v>0.82950000000000002</v>
      </c>
    </row>
    <row r="21" spans="1:11" x14ac:dyDescent="0.3">
      <c r="A21" t="s">
        <v>59</v>
      </c>
      <c r="B21" t="s">
        <v>57</v>
      </c>
      <c r="C21" t="s">
        <v>58</v>
      </c>
      <c r="D21">
        <v>2016</v>
      </c>
      <c r="E21">
        <v>29</v>
      </c>
      <c r="F21">
        <v>0.89129999999999998</v>
      </c>
      <c r="G21">
        <v>0.68813000000000002</v>
      </c>
      <c r="H21">
        <v>0.67515999999999998</v>
      </c>
      <c r="I21">
        <v>0.74575999999999998</v>
      </c>
      <c r="J21">
        <v>32</v>
      </c>
      <c r="K21">
        <v>0.75152999999999992</v>
      </c>
    </row>
    <row r="22" spans="1:11" x14ac:dyDescent="0.3">
      <c r="A22" t="s">
        <v>55</v>
      </c>
      <c r="B22" t="s">
        <v>38</v>
      </c>
      <c r="C22" t="s">
        <v>39</v>
      </c>
      <c r="D22">
        <v>2024</v>
      </c>
      <c r="E22">
        <v>7</v>
      </c>
      <c r="F22">
        <v>0.95348999999999995</v>
      </c>
      <c r="G22">
        <v>0.97467000000000004</v>
      </c>
      <c r="H22">
        <v>0.94498000000000004</v>
      </c>
      <c r="I22">
        <v>0.97260000000000002</v>
      </c>
      <c r="J22">
        <v>4</v>
      </c>
      <c r="K22">
        <v>0.95771333333333342</v>
      </c>
    </row>
    <row r="23" spans="1:11" x14ac:dyDescent="0.3">
      <c r="A23" t="s">
        <v>51</v>
      </c>
      <c r="B23" t="s">
        <v>38</v>
      </c>
      <c r="C23" t="s">
        <v>39</v>
      </c>
      <c r="D23">
        <v>2022</v>
      </c>
      <c r="E23">
        <v>11</v>
      </c>
      <c r="F23">
        <v>0.88590000000000002</v>
      </c>
      <c r="G23">
        <v>0.91859999999999997</v>
      </c>
      <c r="H23">
        <v>0.93689999999999996</v>
      </c>
      <c r="I23">
        <v>0.95450000000000002</v>
      </c>
      <c r="J23">
        <v>6</v>
      </c>
      <c r="K23">
        <v>0.91380000000000006</v>
      </c>
    </row>
    <row r="24" spans="1:11" x14ac:dyDescent="0.3">
      <c r="A24" t="s">
        <v>47</v>
      </c>
      <c r="B24" t="s">
        <v>38</v>
      </c>
      <c r="C24" t="s">
        <v>39</v>
      </c>
      <c r="D24">
        <v>2020</v>
      </c>
      <c r="E24">
        <v>7</v>
      </c>
      <c r="F24">
        <v>0.95879999999999999</v>
      </c>
      <c r="G24">
        <v>0.91949999999999998</v>
      </c>
      <c r="H24">
        <v>0.92920000000000003</v>
      </c>
      <c r="I24">
        <v>0.97619999999999996</v>
      </c>
      <c r="J24">
        <v>6</v>
      </c>
      <c r="K24">
        <v>0.93583333333333341</v>
      </c>
    </row>
    <row r="25" spans="1:11" x14ac:dyDescent="0.3">
      <c r="A25" t="s">
        <v>46</v>
      </c>
      <c r="B25" t="s">
        <v>38</v>
      </c>
      <c r="C25" t="s">
        <v>39</v>
      </c>
      <c r="D25">
        <v>2018</v>
      </c>
      <c r="E25">
        <v>4</v>
      </c>
      <c r="F25">
        <v>0.97919999999999996</v>
      </c>
      <c r="G25">
        <v>0.8004</v>
      </c>
      <c r="H25">
        <v>0.92</v>
      </c>
      <c r="I25">
        <v>0.98309999999999997</v>
      </c>
      <c r="J25">
        <v>5</v>
      </c>
      <c r="K25">
        <v>0.89986666666666659</v>
      </c>
    </row>
    <row r="26" spans="1:11" x14ac:dyDescent="0.3">
      <c r="A26" t="s">
        <v>41</v>
      </c>
      <c r="B26" t="s">
        <v>38</v>
      </c>
      <c r="C26" t="s">
        <v>39</v>
      </c>
      <c r="D26">
        <v>2016</v>
      </c>
      <c r="E26">
        <v>1</v>
      </c>
      <c r="F26">
        <v>1</v>
      </c>
      <c r="G26">
        <v>0.81766000000000005</v>
      </c>
      <c r="H26">
        <v>0.94018000000000002</v>
      </c>
      <c r="I26">
        <v>1</v>
      </c>
      <c r="J26">
        <v>1</v>
      </c>
      <c r="K26">
        <v>0.91927999999999999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CAE2E-5BDE-4133-B785-FFD4C6F8A0F7}">
  <dimension ref="A1:H51"/>
  <sheetViews>
    <sheetView workbookViewId="0"/>
  </sheetViews>
  <sheetFormatPr defaultRowHeight="14.4" x14ac:dyDescent="0.3"/>
  <cols>
    <col min="1" max="1" width="10.33203125" bestFit="1" customWidth="1"/>
    <col min="2" max="2" width="15.44140625" bestFit="1" customWidth="1"/>
    <col min="3" max="3" width="18.44140625" bestFit="1" customWidth="1"/>
    <col min="4" max="4" width="6.88671875" bestFit="1" customWidth="1"/>
    <col min="5" max="5" width="14.44140625" bestFit="1" customWidth="1"/>
    <col min="6" max="6" width="19.6640625" bestFit="1" customWidth="1"/>
    <col min="7" max="7" width="14.88671875" bestFit="1" customWidth="1"/>
    <col min="8" max="8" width="15.77734375" bestFit="1" customWidth="1"/>
  </cols>
  <sheetData>
    <row r="1" spans="1:8" x14ac:dyDescent="0.3">
      <c r="A1" t="s">
        <v>0</v>
      </c>
      <c r="B1" t="s">
        <v>1</v>
      </c>
      <c r="C1" t="s">
        <v>2</v>
      </c>
      <c r="D1" t="s">
        <v>3</v>
      </c>
      <c r="E1" t="s">
        <v>4</v>
      </c>
      <c r="F1" t="s">
        <v>5</v>
      </c>
      <c r="G1" t="s">
        <v>6</v>
      </c>
      <c r="H1" t="s">
        <v>7</v>
      </c>
    </row>
    <row r="2" spans="1:8" x14ac:dyDescent="0.3">
      <c r="A2" t="s">
        <v>8</v>
      </c>
      <c r="B2" t="s">
        <v>9</v>
      </c>
      <c r="C2" t="s">
        <v>10</v>
      </c>
      <c r="D2">
        <v>2015</v>
      </c>
      <c r="E2">
        <v>0.16126787288324124</v>
      </c>
      <c r="F2">
        <v>0.63104284022679635</v>
      </c>
      <c r="H2">
        <v>0.39615535655501877</v>
      </c>
    </row>
    <row r="3" spans="1:8" x14ac:dyDescent="0.3">
      <c r="A3" t="s">
        <v>11</v>
      </c>
      <c r="B3" t="s">
        <v>12</v>
      </c>
      <c r="C3" t="s">
        <v>13</v>
      </c>
      <c r="D3">
        <v>2019</v>
      </c>
      <c r="E3">
        <v>0.62501753629764345</v>
      </c>
      <c r="F3">
        <v>0.80625400530460523</v>
      </c>
      <c r="G3">
        <v>9.3360433012578736E-2</v>
      </c>
      <c r="H3">
        <v>0.50821065820494249</v>
      </c>
    </row>
    <row r="4" spans="1:8" x14ac:dyDescent="0.3">
      <c r="A4" t="s">
        <v>14</v>
      </c>
      <c r="B4" t="s">
        <v>12</v>
      </c>
      <c r="C4" t="s">
        <v>13</v>
      </c>
      <c r="D4">
        <v>2015</v>
      </c>
      <c r="E4">
        <v>0.42887841054362968</v>
      </c>
      <c r="F4">
        <v>0.79494048295532738</v>
      </c>
      <c r="H4">
        <v>0.61190944674947856</v>
      </c>
    </row>
    <row r="5" spans="1:8" x14ac:dyDescent="0.3">
      <c r="A5" t="s">
        <v>15</v>
      </c>
      <c r="B5" t="s">
        <v>12</v>
      </c>
      <c r="C5" t="s">
        <v>13</v>
      </c>
      <c r="D5">
        <v>2020</v>
      </c>
      <c r="E5">
        <v>0.69565986848842565</v>
      </c>
      <c r="F5">
        <v>0.67317733496642795</v>
      </c>
      <c r="G5">
        <v>0.24491341778282796</v>
      </c>
      <c r="H5">
        <v>0.53791687374589381</v>
      </c>
    </row>
    <row r="6" spans="1:8" x14ac:dyDescent="0.3">
      <c r="A6" t="s">
        <v>16</v>
      </c>
      <c r="B6" t="s">
        <v>12</v>
      </c>
      <c r="C6" t="s">
        <v>13</v>
      </c>
      <c r="D6">
        <v>2016</v>
      </c>
      <c r="E6">
        <v>0.44257538763933119</v>
      </c>
      <c r="F6">
        <v>0.87249184415858883</v>
      </c>
      <c r="H6">
        <v>0.65753361589895998</v>
      </c>
    </row>
    <row r="7" spans="1:8" x14ac:dyDescent="0.3">
      <c r="A7" t="s">
        <v>17</v>
      </c>
      <c r="B7" t="s">
        <v>12</v>
      </c>
      <c r="C7" t="s">
        <v>13</v>
      </c>
      <c r="D7">
        <v>2021</v>
      </c>
      <c r="E7">
        <v>0.77887701411054377</v>
      </c>
      <c r="F7">
        <v>0.57805622376268506</v>
      </c>
      <c r="G7">
        <v>0.31949940341083954</v>
      </c>
      <c r="H7">
        <v>0.55881088042802274</v>
      </c>
    </row>
    <row r="8" spans="1:8" x14ac:dyDescent="0.3">
      <c r="A8" t="s">
        <v>18</v>
      </c>
      <c r="B8" t="s">
        <v>9</v>
      </c>
      <c r="C8" t="s">
        <v>10</v>
      </c>
      <c r="D8">
        <v>2016</v>
      </c>
      <c r="E8">
        <v>0.18249398251925708</v>
      </c>
      <c r="F8">
        <v>0.76098946955683866</v>
      </c>
      <c r="H8">
        <v>0.47174172603804787</v>
      </c>
    </row>
    <row r="9" spans="1:8" x14ac:dyDescent="0.3">
      <c r="A9" t="s">
        <v>19</v>
      </c>
      <c r="B9" t="s">
        <v>12</v>
      </c>
      <c r="C9" t="s">
        <v>13</v>
      </c>
      <c r="D9">
        <v>2022</v>
      </c>
      <c r="E9">
        <v>0.84988537151508348</v>
      </c>
      <c r="F9">
        <v>0.48788687963540217</v>
      </c>
      <c r="G9">
        <v>0.34424406709574928</v>
      </c>
      <c r="H9">
        <v>0.56067210608207829</v>
      </c>
    </row>
    <row r="10" spans="1:8" x14ac:dyDescent="0.3">
      <c r="A10" t="s">
        <v>20</v>
      </c>
      <c r="B10" t="s">
        <v>12</v>
      </c>
      <c r="C10" t="s">
        <v>13</v>
      </c>
      <c r="D10">
        <v>2017</v>
      </c>
      <c r="E10">
        <v>0.55801265432384539</v>
      </c>
      <c r="F10">
        <v>0.7655058349173981</v>
      </c>
      <c r="H10">
        <v>0.66175924462062174</v>
      </c>
    </row>
    <row r="11" spans="1:8" x14ac:dyDescent="0.3">
      <c r="A11" t="s">
        <v>21</v>
      </c>
      <c r="B11" t="s">
        <v>12</v>
      </c>
      <c r="C11" t="s">
        <v>13</v>
      </c>
      <c r="D11">
        <v>2023</v>
      </c>
      <c r="E11">
        <v>0.90307142558557729</v>
      </c>
      <c r="F11">
        <v>0.67802175031777079</v>
      </c>
      <c r="G11">
        <v>0.3613448622659754</v>
      </c>
      <c r="H11">
        <v>0.6474793460564412</v>
      </c>
    </row>
    <row r="12" spans="1:8" x14ac:dyDescent="0.3">
      <c r="A12" t="s">
        <v>22</v>
      </c>
      <c r="B12" t="s">
        <v>12</v>
      </c>
      <c r="C12" t="s">
        <v>13</v>
      </c>
      <c r="D12">
        <v>2018</v>
      </c>
      <c r="E12">
        <v>0.60680816596304199</v>
      </c>
      <c r="F12">
        <v>0.80625400530460523</v>
      </c>
      <c r="H12">
        <v>0.70653108563382361</v>
      </c>
    </row>
    <row r="13" spans="1:8" x14ac:dyDescent="0.3">
      <c r="A13" t="s">
        <v>23</v>
      </c>
      <c r="B13" t="s">
        <v>12</v>
      </c>
      <c r="C13" t="s">
        <v>13</v>
      </c>
      <c r="D13">
        <v>2024</v>
      </c>
      <c r="E13">
        <v>0.9282931396507369</v>
      </c>
      <c r="F13">
        <v>0.92843243716492763</v>
      </c>
      <c r="G13">
        <v>0.39789566896288148</v>
      </c>
      <c r="H13">
        <v>0.75154041525951532</v>
      </c>
    </row>
    <row r="14" spans="1:8" x14ac:dyDescent="0.3">
      <c r="A14" t="s">
        <v>24</v>
      </c>
      <c r="B14" t="s">
        <v>9</v>
      </c>
      <c r="C14" t="s">
        <v>10</v>
      </c>
      <c r="D14">
        <v>2017</v>
      </c>
      <c r="E14">
        <v>0.20666908967826336</v>
      </c>
      <c r="F14">
        <v>0.86581462004804344</v>
      </c>
      <c r="H14">
        <v>0.53624185486315334</v>
      </c>
    </row>
    <row r="15" spans="1:8" x14ac:dyDescent="0.3">
      <c r="A15" t="s">
        <v>25</v>
      </c>
      <c r="B15" t="s">
        <v>26</v>
      </c>
      <c r="C15" t="s">
        <v>27</v>
      </c>
      <c r="D15">
        <v>2019</v>
      </c>
      <c r="E15">
        <v>0.12153213271042063</v>
      </c>
      <c r="F15">
        <v>0.63735352313477678</v>
      </c>
      <c r="G15">
        <v>3.5520130975915248E-2</v>
      </c>
      <c r="H15">
        <v>0.26480192894037091</v>
      </c>
    </row>
    <row r="16" spans="1:8" x14ac:dyDescent="0.3">
      <c r="A16" t="s">
        <v>28</v>
      </c>
      <c r="B16" t="s">
        <v>26</v>
      </c>
      <c r="C16" t="s">
        <v>27</v>
      </c>
      <c r="D16">
        <v>2020</v>
      </c>
      <c r="E16">
        <v>0.18714870836088171</v>
      </c>
      <c r="F16">
        <v>0.52288800763364685</v>
      </c>
      <c r="G16">
        <v>6.9255422361894581E-2</v>
      </c>
      <c r="H16">
        <v>0.25976404611880771</v>
      </c>
    </row>
    <row r="17" spans="1:8" x14ac:dyDescent="0.3">
      <c r="A17" t="s">
        <v>29</v>
      </c>
      <c r="B17" t="s">
        <v>9</v>
      </c>
      <c r="C17" t="s">
        <v>10</v>
      </c>
      <c r="D17">
        <v>2018</v>
      </c>
      <c r="E17">
        <v>0.2293496704140128</v>
      </c>
      <c r="F17">
        <v>0.61731153999591171</v>
      </c>
      <c r="H17">
        <v>0.42333060520496224</v>
      </c>
    </row>
    <row r="18" spans="1:8" x14ac:dyDescent="0.3">
      <c r="A18" t="s">
        <v>30</v>
      </c>
      <c r="B18" t="s">
        <v>9</v>
      </c>
      <c r="C18" t="s">
        <v>10</v>
      </c>
      <c r="D18">
        <v>2019</v>
      </c>
      <c r="E18">
        <v>0.28513626614314974</v>
      </c>
      <c r="F18">
        <v>0.61731153999591171</v>
      </c>
      <c r="G18">
        <v>6.6798628384887064E-3</v>
      </c>
      <c r="H18">
        <v>0.30304255632585003</v>
      </c>
    </row>
    <row r="19" spans="1:8" x14ac:dyDescent="0.3">
      <c r="A19" t="s">
        <v>31</v>
      </c>
      <c r="B19" t="s">
        <v>9</v>
      </c>
      <c r="C19" t="s">
        <v>10</v>
      </c>
      <c r="D19">
        <v>2020</v>
      </c>
      <c r="E19">
        <v>0.36362808999475321</v>
      </c>
      <c r="F19">
        <v>0.59955208585857889</v>
      </c>
      <c r="G19">
        <v>2.3220114280324576E-2</v>
      </c>
      <c r="H19">
        <v>0.3288000967112189</v>
      </c>
    </row>
    <row r="20" spans="1:8" x14ac:dyDescent="0.3">
      <c r="A20" t="s">
        <v>32</v>
      </c>
      <c r="B20" t="s">
        <v>9</v>
      </c>
      <c r="C20" t="s">
        <v>10</v>
      </c>
      <c r="D20">
        <v>2021</v>
      </c>
      <c r="E20">
        <v>0.37345018689097143</v>
      </c>
      <c r="F20">
        <v>0.61307470017551668</v>
      </c>
      <c r="G20">
        <v>3.3979383373361344E-2</v>
      </c>
      <c r="H20">
        <v>0.34016809014661648</v>
      </c>
    </row>
    <row r="21" spans="1:8" x14ac:dyDescent="0.3">
      <c r="A21" t="s">
        <v>33</v>
      </c>
      <c r="B21" t="s">
        <v>9</v>
      </c>
      <c r="C21" t="s">
        <v>10</v>
      </c>
      <c r="D21">
        <v>2022</v>
      </c>
      <c r="E21">
        <v>0.38753152046913519</v>
      </c>
      <c r="F21">
        <v>0.64246724729595051</v>
      </c>
      <c r="G21">
        <v>3.6819293314312197E-2</v>
      </c>
      <c r="H21">
        <v>0.35560602035979932</v>
      </c>
    </row>
    <row r="22" spans="1:8" x14ac:dyDescent="0.3">
      <c r="A22" t="s">
        <v>34</v>
      </c>
      <c r="B22" t="s">
        <v>9</v>
      </c>
      <c r="C22" t="s">
        <v>10</v>
      </c>
      <c r="D22">
        <v>2023</v>
      </c>
      <c r="E22">
        <v>0.39983578030655015</v>
      </c>
      <c r="F22">
        <v>0.70078574146290629</v>
      </c>
      <c r="G22">
        <v>4.6744579365918679E-2</v>
      </c>
      <c r="H22">
        <v>0.38245536704512506</v>
      </c>
    </row>
    <row r="23" spans="1:8" x14ac:dyDescent="0.3">
      <c r="A23" t="s">
        <v>35</v>
      </c>
      <c r="B23" t="s">
        <v>9</v>
      </c>
      <c r="C23" t="s">
        <v>10</v>
      </c>
      <c r="D23">
        <v>2024</v>
      </c>
      <c r="E23">
        <v>0.42545457743738141</v>
      </c>
      <c r="F23">
        <v>0.71060743651229075</v>
      </c>
      <c r="G23">
        <v>6.22168469596538E-2</v>
      </c>
      <c r="H23">
        <v>0.39942628696977533</v>
      </c>
    </row>
    <row r="24" spans="1:8" x14ac:dyDescent="0.3">
      <c r="A24" t="s">
        <v>36</v>
      </c>
      <c r="B24" t="s">
        <v>26</v>
      </c>
      <c r="C24" t="s">
        <v>27</v>
      </c>
      <c r="D24">
        <v>2015</v>
      </c>
      <c r="E24">
        <v>0</v>
      </c>
      <c r="F24">
        <v>0.14207020744258131</v>
      </c>
      <c r="H24">
        <v>7.1035103721290654E-2</v>
      </c>
    </row>
    <row r="25" spans="1:8" x14ac:dyDescent="0.3">
      <c r="A25" t="s">
        <v>37</v>
      </c>
      <c r="B25" t="s">
        <v>38</v>
      </c>
      <c r="C25" t="s">
        <v>39</v>
      </c>
      <c r="D25">
        <v>2015</v>
      </c>
      <c r="E25">
        <v>0.70196602281197717</v>
      </c>
      <c r="F25">
        <v>0.96459504944137087</v>
      </c>
      <c r="H25">
        <v>0.83328053612667397</v>
      </c>
    </row>
    <row r="26" spans="1:8" x14ac:dyDescent="0.3">
      <c r="A26" t="s">
        <v>40</v>
      </c>
      <c r="B26" t="s">
        <v>26</v>
      </c>
      <c r="C26" t="s">
        <v>27</v>
      </c>
      <c r="D26">
        <v>2016</v>
      </c>
      <c r="E26">
        <v>1.9298221011997605E-2</v>
      </c>
      <c r="F26">
        <v>0.13649601630868424</v>
      </c>
      <c r="H26">
        <v>7.7897118660340922E-2</v>
      </c>
    </row>
    <row r="27" spans="1:8" x14ac:dyDescent="0.3">
      <c r="A27" t="s">
        <v>41</v>
      </c>
      <c r="B27" t="s">
        <v>38</v>
      </c>
      <c r="C27" t="s">
        <v>39</v>
      </c>
      <c r="D27">
        <v>2016</v>
      </c>
      <c r="E27">
        <v>0.71790963144730335</v>
      </c>
      <c r="F27">
        <v>0.98194323088563895</v>
      </c>
      <c r="H27">
        <v>0.84992643116647115</v>
      </c>
    </row>
    <row r="28" spans="1:8" x14ac:dyDescent="0.3">
      <c r="A28" t="s">
        <v>42</v>
      </c>
      <c r="B28" t="s">
        <v>26</v>
      </c>
      <c r="C28" t="s">
        <v>27</v>
      </c>
      <c r="D28">
        <v>2017</v>
      </c>
      <c r="E28">
        <v>4.1052587950697148E-2</v>
      </c>
      <c r="F28">
        <v>6.4594264783135791E-2</v>
      </c>
      <c r="H28">
        <v>5.2823426366916469E-2</v>
      </c>
    </row>
    <row r="29" spans="1:8" x14ac:dyDescent="0.3">
      <c r="A29" t="s">
        <v>43</v>
      </c>
      <c r="B29" t="s">
        <v>38</v>
      </c>
      <c r="C29" t="s">
        <v>39</v>
      </c>
      <c r="D29">
        <v>2019</v>
      </c>
      <c r="E29">
        <v>0.75742641057118909</v>
      </c>
      <c r="F29">
        <v>0.85546979868951878</v>
      </c>
      <c r="G29">
        <v>0.11567314108448203</v>
      </c>
      <c r="H29">
        <v>0.57618978344839666</v>
      </c>
    </row>
    <row r="30" spans="1:8" x14ac:dyDescent="0.3">
      <c r="A30" t="s">
        <v>44</v>
      </c>
      <c r="B30" t="s">
        <v>38</v>
      </c>
      <c r="C30" t="s">
        <v>39</v>
      </c>
      <c r="D30">
        <v>2017</v>
      </c>
      <c r="E30">
        <v>0.71336342975121225</v>
      </c>
      <c r="F30">
        <v>0.89759309123896569</v>
      </c>
      <c r="H30">
        <v>0.80547826049508897</v>
      </c>
    </row>
    <row r="31" spans="1:8" x14ac:dyDescent="0.3">
      <c r="A31" t="s">
        <v>45</v>
      </c>
      <c r="B31" t="s">
        <v>26</v>
      </c>
      <c r="C31" t="s">
        <v>27</v>
      </c>
      <c r="D31">
        <v>2018</v>
      </c>
      <c r="E31">
        <v>6.8116663522250029E-2</v>
      </c>
      <c r="F31">
        <v>0.63049230747529894</v>
      </c>
      <c r="H31">
        <v>0.34930448549877452</v>
      </c>
    </row>
    <row r="32" spans="1:8" x14ac:dyDescent="0.3">
      <c r="A32" t="s">
        <v>46</v>
      </c>
      <c r="B32" t="s">
        <v>38</v>
      </c>
      <c r="C32" t="s">
        <v>39</v>
      </c>
      <c r="D32">
        <v>2018</v>
      </c>
      <c r="E32">
        <v>0.73962883648469757</v>
      </c>
      <c r="F32">
        <v>0.86619428685603317</v>
      </c>
      <c r="H32">
        <v>0.80291156167036537</v>
      </c>
    </row>
    <row r="33" spans="1:8" x14ac:dyDescent="0.3">
      <c r="A33" t="s">
        <v>47</v>
      </c>
      <c r="B33" t="s">
        <v>38</v>
      </c>
      <c r="C33" t="s">
        <v>39</v>
      </c>
      <c r="D33">
        <v>2020</v>
      </c>
      <c r="E33">
        <v>0.77705178047771495</v>
      </c>
      <c r="F33">
        <v>0.78692743631664896</v>
      </c>
      <c r="G33">
        <v>0.14835552865736101</v>
      </c>
      <c r="H33">
        <v>0.57077824848390835</v>
      </c>
    </row>
    <row r="34" spans="1:8" x14ac:dyDescent="0.3">
      <c r="A34" t="s">
        <v>48</v>
      </c>
      <c r="B34" t="s">
        <v>26</v>
      </c>
      <c r="C34" t="s">
        <v>27</v>
      </c>
      <c r="D34">
        <v>2021</v>
      </c>
      <c r="E34">
        <v>0.21653733444015308</v>
      </c>
      <c r="F34">
        <v>0.57675243250710051</v>
      </c>
      <c r="G34">
        <v>0.11665089246030401</v>
      </c>
      <c r="H34">
        <v>0.30331355313585251</v>
      </c>
    </row>
    <row r="35" spans="1:8" x14ac:dyDescent="0.3">
      <c r="A35" t="s">
        <v>49</v>
      </c>
      <c r="B35" t="s">
        <v>38</v>
      </c>
      <c r="C35" t="s">
        <v>39</v>
      </c>
      <c r="D35">
        <v>2021</v>
      </c>
      <c r="E35">
        <v>0.81470211228768752</v>
      </c>
      <c r="F35">
        <v>0.88137903455197764</v>
      </c>
      <c r="G35">
        <v>0.2326761001330751</v>
      </c>
      <c r="H35">
        <v>0.64291908232424677</v>
      </c>
    </row>
    <row r="36" spans="1:8" x14ac:dyDescent="0.3">
      <c r="A36" t="s">
        <v>50</v>
      </c>
      <c r="B36" t="s">
        <v>26</v>
      </c>
      <c r="C36" t="s">
        <v>27</v>
      </c>
      <c r="D36">
        <v>2022</v>
      </c>
      <c r="E36">
        <v>0.24904889368920294</v>
      </c>
      <c r="F36">
        <v>0.62886794904926036</v>
      </c>
      <c r="G36">
        <v>0.14009948472362416</v>
      </c>
      <c r="H36">
        <v>0.33933877582069583</v>
      </c>
    </row>
    <row r="37" spans="1:8" x14ac:dyDescent="0.3">
      <c r="A37" t="s">
        <v>51</v>
      </c>
      <c r="B37" t="s">
        <v>38</v>
      </c>
      <c r="C37" t="s">
        <v>39</v>
      </c>
      <c r="D37">
        <v>2022</v>
      </c>
      <c r="E37">
        <v>0.81976665395696957</v>
      </c>
      <c r="F37">
        <v>0.89883674612129771</v>
      </c>
      <c r="G37">
        <v>0.30431665099830263</v>
      </c>
      <c r="H37">
        <v>0.67430668369218993</v>
      </c>
    </row>
    <row r="38" spans="1:8" x14ac:dyDescent="0.3">
      <c r="A38" t="s">
        <v>52</v>
      </c>
      <c r="B38" t="s">
        <v>26</v>
      </c>
      <c r="C38" t="s">
        <v>27</v>
      </c>
      <c r="D38">
        <v>2023</v>
      </c>
      <c r="E38">
        <v>0.2762261770158761</v>
      </c>
      <c r="F38">
        <v>0.62471784169706501</v>
      </c>
      <c r="G38">
        <v>0.33056898921335509</v>
      </c>
      <c r="H38">
        <v>0.41050433597543207</v>
      </c>
    </row>
    <row r="39" spans="1:8" x14ac:dyDescent="0.3">
      <c r="A39" t="s">
        <v>53</v>
      </c>
      <c r="B39" t="s">
        <v>38</v>
      </c>
      <c r="C39" t="s">
        <v>39</v>
      </c>
      <c r="D39">
        <v>2023</v>
      </c>
      <c r="E39">
        <v>0.82596518488176851</v>
      </c>
      <c r="F39">
        <v>0.91280901902754807</v>
      </c>
      <c r="G39">
        <v>0.37310241911648645</v>
      </c>
      <c r="H39">
        <v>0.70395887434193438</v>
      </c>
    </row>
    <row r="40" spans="1:8" x14ac:dyDescent="0.3">
      <c r="A40" t="s">
        <v>54</v>
      </c>
      <c r="B40" t="s">
        <v>26</v>
      </c>
      <c r="C40" t="s">
        <v>27</v>
      </c>
      <c r="D40">
        <v>2024</v>
      </c>
      <c r="E40">
        <v>0.29958699708292674</v>
      </c>
      <c r="F40">
        <v>0.65556437383067445</v>
      </c>
      <c r="G40">
        <v>0.34083732220951068</v>
      </c>
      <c r="H40">
        <v>0.43199623104103729</v>
      </c>
    </row>
    <row r="41" spans="1:8" x14ac:dyDescent="0.3">
      <c r="A41" t="s">
        <v>55</v>
      </c>
      <c r="B41" t="s">
        <v>38</v>
      </c>
      <c r="C41" t="s">
        <v>39</v>
      </c>
      <c r="D41">
        <v>2024</v>
      </c>
      <c r="E41">
        <v>0.82518050283930833</v>
      </c>
      <c r="F41">
        <v>0.91210552243046628</v>
      </c>
      <c r="G41">
        <v>0.47032490967191098</v>
      </c>
      <c r="H41">
        <v>0.73587031164722849</v>
      </c>
    </row>
    <row r="42" spans="1:8" x14ac:dyDescent="0.3">
      <c r="A42" t="s">
        <v>56</v>
      </c>
      <c r="B42" t="s">
        <v>57</v>
      </c>
      <c r="C42" t="s">
        <v>58</v>
      </c>
      <c r="D42">
        <v>2015</v>
      </c>
      <c r="E42">
        <v>0.49949574697529081</v>
      </c>
      <c r="F42">
        <v>0.85461436208026798</v>
      </c>
      <c r="H42">
        <v>0.67705505452777937</v>
      </c>
    </row>
    <row r="43" spans="1:8" x14ac:dyDescent="0.3">
      <c r="A43" t="s">
        <v>59</v>
      </c>
      <c r="B43" t="s">
        <v>57</v>
      </c>
      <c r="C43" t="s">
        <v>58</v>
      </c>
      <c r="D43">
        <v>2016</v>
      </c>
      <c r="E43">
        <v>0.50034186960350802</v>
      </c>
      <c r="F43">
        <v>0.91027159409043468</v>
      </c>
      <c r="H43">
        <v>0.70530673184697135</v>
      </c>
    </row>
    <row r="44" spans="1:8" x14ac:dyDescent="0.3">
      <c r="A44" t="s">
        <v>60</v>
      </c>
      <c r="B44" t="s">
        <v>57</v>
      </c>
      <c r="C44" t="s">
        <v>58</v>
      </c>
      <c r="D44">
        <v>2017</v>
      </c>
      <c r="E44">
        <v>0.66587512586129194</v>
      </c>
      <c r="F44">
        <v>0.89433129138824663</v>
      </c>
      <c r="H44">
        <v>0.78010320862476923</v>
      </c>
    </row>
    <row r="45" spans="1:8" x14ac:dyDescent="0.3">
      <c r="A45" t="s">
        <v>61</v>
      </c>
      <c r="B45" t="s">
        <v>57</v>
      </c>
      <c r="C45" t="s">
        <v>58</v>
      </c>
      <c r="D45">
        <v>2018</v>
      </c>
      <c r="E45">
        <v>0.69392613610249487</v>
      </c>
      <c r="F45">
        <v>0.8921572287747116</v>
      </c>
      <c r="H45">
        <v>0.79304168243860329</v>
      </c>
    </row>
    <row r="46" spans="1:8" x14ac:dyDescent="0.3">
      <c r="A46" t="s">
        <v>62</v>
      </c>
      <c r="B46" t="s">
        <v>57</v>
      </c>
      <c r="C46" t="s">
        <v>58</v>
      </c>
      <c r="D46">
        <v>2019</v>
      </c>
      <c r="E46">
        <v>0.71774356235161052</v>
      </c>
      <c r="F46">
        <v>0.8921572287747116</v>
      </c>
      <c r="G46">
        <v>0.18035698706627912</v>
      </c>
      <c r="H46">
        <v>0.59675259273086712</v>
      </c>
    </row>
    <row r="47" spans="1:8" x14ac:dyDescent="0.3">
      <c r="A47" t="s">
        <v>63</v>
      </c>
      <c r="B47" t="s">
        <v>57</v>
      </c>
      <c r="C47" t="s">
        <v>58</v>
      </c>
      <c r="D47">
        <v>2020</v>
      </c>
      <c r="E47">
        <v>0.92467424597591552</v>
      </c>
      <c r="F47">
        <v>0.90192612030562724</v>
      </c>
      <c r="G47">
        <v>0.37949671635792626</v>
      </c>
      <c r="H47">
        <v>0.73536569421315634</v>
      </c>
    </row>
    <row r="48" spans="1:8" x14ac:dyDescent="0.3">
      <c r="A48" t="s">
        <v>64</v>
      </c>
      <c r="B48" t="s">
        <v>57</v>
      </c>
      <c r="C48" t="s">
        <v>58</v>
      </c>
      <c r="D48">
        <v>2021</v>
      </c>
      <c r="E48">
        <v>0.93215748196173653</v>
      </c>
      <c r="F48">
        <v>0.92323444095583662</v>
      </c>
      <c r="G48">
        <v>0.71426405385255509</v>
      </c>
      <c r="H48">
        <v>0.85655199225670942</v>
      </c>
    </row>
    <row r="49" spans="1:8" x14ac:dyDescent="0.3">
      <c r="A49" t="s">
        <v>65</v>
      </c>
      <c r="B49" t="s">
        <v>57</v>
      </c>
      <c r="C49" t="s">
        <v>58</v>
      </c>
      <c r="D49">
        <v>2022</v>
      </c>
      <c r="E49">
        <v>0.9101566582328261</v>
      </c>
      <c r="F49">
        <v>0.8957383944734596</v>
      </c>
      <c r="G49">
        <v>0.6476811789615633</v>
      </c>
      <c r="H49">
        <v>0.81785874388928304</v>
      </c>
    </row>
    <row r="50" spans="1:8" x14ac:dyDescent="0.3">
      <c r="A50" t="s">
        <v>66</v>
      </c>
      <c r="B50" t="s">
        <v>57</v>
      </c>
      <c r="C50" t="s">
        <v>58</v>
      </c>
      <c r="D50">
        <v>2023</v>
      </c>
      <c r="E50">
        <v>0.90521496156280523</v>
      </c>
      <c r="F50">
        <v>0.96276919497418523</v>
      </c>
      <c r="G50">
        <v>0.80680432111056599</v>
      </c>
      <c r="H50">
        <v>0.89159615921585211</v>
      </c>
    </row>
    <row r="51" spans="1:8" x14ac:dyDescent="0.3">
      <c r="A51" t="s">
        <v>67</v>
      </c>
      <c r="B51" t="s">
        <v>57</v>
      </c>
      <c r="C51" t="s">
        <v>58</v>
      </c>
      <c r="D51">
        <v>2024</v>
      </c>
      <c r="E51">
        <v>0.90362130030310173</v>
      </c>
      <c r="F51">
        <v>0.96979053229012302</v>
      </c>
      <c r="G51">
        <v>1</v>
      </c>
      <c r="H51">
        <v>0.95780394419774162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AE90E4E-8C25-4DE5-93DA-4B57284A2BB1}">
  <ds:schemaRefs/>
</ds:datastoreItem>
</file>

<file path=customXml/itemProps2.xml><?xml version="1.0" encoding="utf-8"?>
<ds:datastoreItem xmlns:ds="http://schemas.openxmlformats.org/officeDocument/2006/customXml" ds:itemID="{D290E0A6-2CA6-4C46-91BC-C1A0B8F96FF5}">
  <ds:schemaRefs/>
</ds:datastoreItem>
</file>

<file path=customXml/itemProps3.xml><?xml version="1.0" encoding="utf-8"?>
<ds:datastoreItem xmlns:ds="http://schemas.openxmlformats.org/officeDocument/2006/customXml" ds:itemID="{06E1B84B-5368-45D7-AA42-D21375F3100F}">
  <ds:schemaRefs/>
</ds:datastoreItem>
</file>

<file path=customXml/itemProps4.xml><?xml version="1.0" encoding="utf-8"?>
<ds:datastoreItem xmlns:ds="http://schemas.openxmlformats.org/officeDocument/2006/customXml" ds:itemID="{1AA01C8D-67D0-4BAC-8C39-887468DA9065}">
  <ds:schemaRefs/>
</ds:datastoreItem>
</file>

<file path=customXml/itemProps5.xml><?xml version="1.0" encoding="utf-8"?>
<ds:datastoreItem xmlns:ds="http://schemas.openxmlformats.org/officeDocument/2006/customXml" ds:itemID="{4463725C-CD28-4F2B-A993-C95B77B49E7B}">
  <ds:schemaRefs/>
</ds:datastoreItem>
</file>

<file path=customXml/itemProps6.xml><?xml version="1.0" encoding="utf-8"?>
<ds:datastoreItem xmlns:ds="http://schemas.openxmlformats.org/officeDocument/2006/customXml" ds:itemID="{B95E57E9-88FD-46C1-8DBC-80BB2CFA427F}">
  <ds:schemaRefs/>
</ds:datastoreItem>
</file>

<file path=customXml/itemProps7.xml><?xml version="1.0" encoding="utf-8"?>
<ds:datastoreItem xmlns:ds="http://schemas.openxmlformats.org/officeDocument/2006/customXml" ds:itemID="{844418DC-885F-49F8-9571-94B0E3AEC521}">
  <ds:schemaRefs/>
</ds:datastoreItem>
</file>

<file path=customXml/itemProps8.xml><?xml version="1.0" encoding="utf-8"?>
<ds:datastoreItem xmlns:ds="http://schemas.openxmlformats.org/officeDocument/2006/customXml" ds:itemID="{12B6FCD4-C69A-434D-BEF4-048152454E02}">
  <ds:schemaRefs/>
</ds:datastoreItem>
</file>

<file path=customXml/itemProps9.xml><?xml version="1.0" encoding="utf-8"?>
<ds:datastoreItem xmlns:ds="http://schemas.openxmlformats.org/officeDocument/2006/customXml" ds:itemID="{29D3CFC6-9E22-4A5A-9C87-3EBDCCC70235}">
  <ds:schemaRefs/>
</ds:datastoreItem>
</file>

<file path=customXml/itemProps10.xml><?xml version="1.0" encoding="utf-8"?>
<ds:datastoreItem xmlns:ds="http://schemas.openxmlformats.org/officeDocument/2006/customXml" ds:itemID="{DCD19513-2041-4133-A806-B28842673727}">
  <ds:schemaRefs/>
</ds:datastoreItem>
</file>

<file path=customXml/itemProps11.xml><?xml version="1.0" encoding="utf-8"?>
<ds:datastoreItem xmlns:ds="http://schemas.openxmlformats.org/officeDocument/2006/customXml" ds:itemID="{C2BFDC88-3667-4FCF-9E5A-98E50842878A}">
  <ds:schemaRefs/>
</ds:datastoreItem>
</file>

<file path=customXml/itemProps12.xml><?xml version="1.0" encoding="utf-8"?>
<ds:datastoreItem xmlns:ds="http://schemas.openxmlformats.org/officeDocument/2006/customXml" ds:itemID="{F0322432-D699-4ABD-ACD9-B57590B8910B}">
  <ds:schemaRefs/>
</ds:datastoreItem>
</file>

<file path=customXml/itemProps13.xml><?xml version="1.0" encoding="utf-8"?>
<ds:datastoreItem xmlns:ds="http://schemas.openxmlformats.org/officeDocument/2006/customXml" ds:itemID="{D4332C5D-2D92-414B-8853-3029195AA692}">
  <ds:schemaRefs/>
</ds:datastoreItem>
</file>

<file path=customXml/itemProps14.xml><?xml version="1.0" encoding="utf-8"?>
<ds:datastoreItem xmlns:ds="http://schemas.openxmlformats.org/officeDocument/2006/customXml" ds:itemID="{ECB3436B-5C14-445D-BC84-AA2E6C6A9BCF}">
  <ds:schemaRefs/>
</ds:datastoreItem>
</file>

<file path=customXml/itemProps15.xml><?xml version="1.0" encoding="utf-8"?>
<ds:datastoreItem xmlns:ds="http://schemas.openxmlformats.org/officeDocument/2006/customXml" ds:itemID="{1E5DE4A7-DA80-4B1A-A21E-9FE309031CFD}">
  <ds:schemaRefs/>
</ds:datastoreItem>
</file>

<file path=customXml/itemProps16.xml><?xml version="1.0" encoding="utf-8"?>
<ds:datastoreItem xmlns:ds="http://schemas.openxmlformats.org/officeDocument/2006/customXml" ds:itemID="{9201B149-FF99-4ABB-82A1-45B828AC6B2D}">
  <ds:schemaRefs/>
</ds:datastoreItem>
</file>

<file path=customXml/itemProps17.xml><?xml version="1.0" encoding="utf-8"?>
<ds:datastoreItem xmlns:ds="http://schemas.openxmlformats.org/officeDocument/2006/customXml" ds:itemID="{7A2C5AF8-A32D-47F6-82F1-8CC6D4ED4F9E}">
  <ds:schemaRefs/>
</ds:datastoreItem>
</file>

<file path=customXml/itemProps18.xml><?xml version="1.0" encoding="utf-8"?>
<ds:datastoreItem xmlns:ds="http://schemas.openxmlformats.org/officeDocument/2006/customXml" ds:itemID="{336912CC-B865-4841-8098-67E6F3E590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Trend Analysis Dashboard</vt:lpstr>
      <vt:lpstr>DT IndicatorsAnalysis Dashboard</vt:lpstr>
      <vt:lpstr>Impact Analysis Dashboard</vt:lpstr>
      <vt:lpstr>Growth Analysis Dashboard</vt:lpstr>
      <vt:lpstr>Trend Analysis</vt:lpstr>
      <vt:lpstr>DT Components Analysis</vt:lpstr>
      <vt:lpstr>Impact Analysis</vt:lpstr>
      <vt:lpstr>Growth Analysis</vt:lpstr>
      <vt:lpstr>Fact_Digital_Transformation_Ind</vt:lpstr>
      <vt:lpstr>Financial_Index_Data_Cleaned1</vt:lpstr>
      <vt:lpstr>Digital_Payments_Index1</vt:lpstr>
      <vt:lpstr>EGOV_Index_DATA_Cleaned1</vt:lpstr>
      <vt:lpstr>Internet_Index_Data_Cleaned1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Kiro</dc:creator>
  <cp:lastModifiedBy>Peter Toma</cp:lastModifiedBy>
  <dcterms:created xsi:type="dcterms:W3CDTF">2015-06-05T18:17:20Z</dcterms:created>
  <dcterms:modified xsi:type="dcterms:W3CDTF">2026-05-20T07:20:45Z</dcterms:modified>
</cp:coreProperties>
</file>